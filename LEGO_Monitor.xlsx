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ℹ️ Instrukcja" sheetId="1" state="visible" r:id="rId1"/>
    <sheet xmlns:r="http://schemas.openxmlformats.org/officeDocument/2006/relationships" name="📋 Lista zestawów" sheetId="2" state="visible" r:id="rId2"/>
    <sheet xmlns:r="http://schemas.openxmlformats.org/officeDocument/2006/relationships" name="📊 Dane dzienne" sheetId="3" state="visible" r:id="rId3"/>
    <sheet xmlns:r="http://schemas.openxmlformats.org/officeDocument/2006/relationships" name="📈 Podsumowanie 30 dni" sheetId="4" state="visible" r:id="rId4"/>
    <sheet xmlns:r="http://schemas.openxmlformats.org/officeDocument/2006/relationships" name="📉 Wykres trendu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#,##0.00 &quot;zł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1A5276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C0392B"/>
      <sz val="10"/>
    </font>
    <font>
      <name val="Arial"/>
      <b val="1"/>
      <color rgb="00F39C12"/>
      <sz val="10"/>
    </font>
    <font>
      <name val="Arial"/>
      <b val="1"/>
      <color rgb="001E8449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F39C12"/>
      </patternFill>
    </fill>
    <fill>
      <patternFill patternType="solid">
        <fgColor rgb="00F2F3F4"/>
      </patternFill>
    </fill>
    <fill>
      <patternFill patternType="solid">
        <fgColor rgb="002E86C1"/>
      </patternFill>
    </fill>
    <fill>
      <patternFill patternType="solid">
        <fgColor rgb="00FFFFFF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najniższej ceny – ostatnie 30 dni</a:t>
            </a:r>
          </a:p>
        </rich>
      </tx>
    </title>
    <plotArea>
      <lineChart>
        <grouping val="standard"/>
        <ser>
          <idx val="0"/>
          <order val="0"/>
          <tx>
            <strRef>
              <f>'📉 Wykres trendu'!B3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'📉 Wykres trendu'!$A$4:$A$33</f>
            </numRef>
          </cat>
          <val>
            <numRef>
              <f>'📉 Wykres trendu'!$B$4:$B$33</f>
            </numRef>
          </val>
        </ser>
        <ser>
          <idx val="1"/>
          <order val="1"/>
          <tx>
            <strRef>
              <f>'📉 Wykres trendu'!C3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'📉 Wykres trendu'!$A$4:$A$33</f>
            </numRef>
          </cat>
          <val>
            <numRef>
              <f>'📉 Wykres trendu'!$C$4:$C$33</f>
            </numRef>
          </val>
        </ser>
        <ser>
          <idx val="2"/>
          <order val="2"/>
          <tx>
            <strRef>
              <f>'📉 Wykres trendu'!D3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'📉 Wykres trendu'!$A$4:$A$33</f>
            </numRef>
          </cat>
          <val>
            <numRef>
              <f>'📉 Wykres trendu'!$D$4:$D$33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Cena (PLN)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</cols>
  <sheetData>
    <row r="1" ht="36" customHeight="1">
      <c r="A1" s="1" t="inlineStr">
        <is>
          <t>ℹ️ INSTRUKCJA OBSŁUGI</t>
        </is>
      </c>
    </row>
    <row r="3" ht="20" customHeight="1">
      <c r="A3" s="2" t="inlineStr">
        <is>
          <t>KROK 1</t>
        </is>
      </c>
      <c r="B3" s="3" t="inlineStr">
        <is>
          <t>📋 Lista zestawów</t>
        </is>
      </c>
    </row>
    <row r="4" ht="48" customHeight="1">
      <c r="A4" s="4" t="inlineStr">
        <is>
          <t>Wpisz numery setów LEGO, które chcesz śledzić. Wymagane pola: Nr setu, Nazwa, Data wycofania. Priorytet ustaw jako: Wysoki / Średni / Niski.</t>
        </is>
      </c>
    </row>
    <row r="6" ht="20" customHeight="1">
      <c r="A6" s="2" t="inlineStr">
        <is>
          <t>KROK 2</t>
        </is>
      </c>
      <c r="B6" s="3" t="inlineStr">
        <is>
          <t>🔧 Konfiguracja skryptu</t>
        </is>
      </c>
    </row>
    <row r="7" ht="48" customHeight="1">
      <c r="A7" s="4" t="inlineStr">
        <is>
          <t>Otwórz plik config.py i wpisz swój Client ID oraz Client Secret z Allegro Developer (developer.allegro.pl).</t>
        </is>
      </c>
    </row>
    <row r="9" ht="20" customHeight="1">
      <c r="A9" s="2" t="inlineStr">
        <is>
          <t>KROK 3</t>
        </is>
      </c>
      <c r="B9" s="3" t="inlineStr">
        <is>
          <t>▶️ Pierwsze uruchomienie</t>
        </is>
      </c>
    </row>
    <row r="10" ht="48" customHeight="1">
      <c r="A10" s="4" t="inlineStr">
        <is>
          <t>Uruchom INSTALACJA.bat jako Administrator — zainstaluje biblioteki i skonfiguruje automatyczne uruchamianie co dzień o 08:00.</t>
        </is>
      </c>
    </row>
    <row r="12" ht="20" customHeight="1">
      <c r="A12" s="2" t="inlineStr">
        <is>
          <t>KROK 4</t>
        </is>
      </c>
      <c r="B12" s="3" t="inlineStr">
        <is>
          <t>📊 Dane dzienne</t>
        </is>
      </c>
    </row>
    <row r="13" ht="48" customHeight="1">
      <c r="A13" s="4" t="inlineStr">
        <is>
          <t>Skrypt codziennie dopisuje nowe wiersze do arkusza 'Dane dzienne'. Dane z poprzednich dni są zachowywane — nigdy nie są nadpisywane.</t>
        </is>
      </c>
    </row>
    <row r="15" ht="20" customHeight="1">
      <c r="A15" s="2" t="inlineStr">
        <is>
          <t>KROK 5</t>
        </is>
      </c>
      <c r="B15" s="3" t="inlineStr">
        <is>
          <t>📈 Podsumowanie 30 dni</t>
        </is>
      </c>
    </row>
    <row r="16" ht="48" customHeight="1">
      <c r="A16" s="4" t="inlineStr">
        <is>
          <t>Arkusz automatycznie sumuje i uśrednia dane z ostatnich 30 dni używając formuł AVERAGEIF/MINIFS/MAXIFS — odświeża się sam.</t>
        </is>
      </c>
    </row>
    <row r="18" ht="20" customHeight="1">
      <c r="A18" s="2" t="inlineStr">
        <is>
          <t>KROK 6</t>
        </is>
      </c>
      <c r="B18" s="3" t="inlineStr">
        <is>
          <t>📉 Wykres trendu</t>
        </is>
      </c>
    </row>
    <row r="19" ht="48" customHeight="1">
      <c r="A19" s="4" t="inlineStr">
        <is>
          <t>Wykres pokazuje trend cen dla każdego śledzonego zestawu. Aktualizuje się automatycznie gdy nowe dane trafią do arkusza danych.</t>
        </is>
      </c>
    </row>
  </sheetData>
  <mergeCells count="7">
    <mergeCell ref="A1:D1"/>
    <mergeCell ref="A4:D4"/>
    <mergeCell ref="A7:D7"/>
    <mergeCell ref="A16:D16"/>
    <mergeCell ref="A19:D19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6" customWidth="1" min="4" max="4"/>
    <col width="16" customWidth="1" min="5" max="5"/>
    <col width="12" customWidth="1" min="6" max="6"/>
    <col width="32" customWidth="1" min="7" max="7"/>
    <col width="24" customWidth="1" min="8" max="8"/>
    <col width="12" customWidth="1" min="9" max="9"/>
  </cols>
  <sheetData>
    <row r="1" ht="32" customHeight="1">
      <c r="A1" s="5" t="inlineStr">
        <is>
          <t>📋 LISTA ŚLEDZONYCH ZESTAWÓW LEGO  —  wpisuj tutaj numery setów do monitorowania</t>
        </is>
      </c>
    </row>
    <row r="2" ht="28" customHeight="1">
      <c r="A2" s="6" t="inlineStr">
        <is>
          <t>Nr setu</t>
        </is>
      </c>
      <c r="B2" s="6" t="inlineStr">
        <is>
          <t>Nazwa zestawu</t>
        </is>
      </c>
      <c r="C2" s="6" t="inlineStr">
        <is>
          <t>Seria / Temat</t>
        </is>
      </c>
      <c r="D2" s="6" t="inlineStr">
        <is>
          <t>Cena RRP (PLN)</t>
        </is>
      </c>
      <c r="E2" s="6" t="inlineStr">
        <is>
          <t>Data wycofania</t>
        </is>
      </c>
      <c r="F2" s="6" t="inlineStr">
        <is>
          <t>Priorytet</t>
        </is>
      </c>
      <c r="G2" s="6" t="inlineStr">
        <is>
          <t>Link Allegro</t>
        </is>
      </c>
      <c r="H2" s="6" t="inlineStr">
        <is>
          <t>Uwagi</t>
        </is>
      </c>
      <c r="I2" s="6" t="inlineStr">
        <is>
          <t>Aktywny?</t>
        </is>
      </c>
    </row>
    <row r="3">
      <c r="A3" s="7" t="inlineStr">
        <is>
          <t>10311</t>
        </is>
      </c>
      <c r="B3" s="7" t="inlineStr">
        <is>
          <t>Orchidea</t>
        </is>
      </c>
      <c r="C3" s="7" t="inlineStr">
        <is>
          <t>Botanical Collection</t>
        </is>
      </c>
      <c r="D3" s="7" t="n">
        <v>179.99</v>
      </c>
      <c r="E3" s="7" t="inlineStr">
        <is>
          <t>2025-06-30</t>
        </is>
      </c>
      <c r="F3" s="8" t="inlineStr">
        <is>
          <t>Wysoki</t>
        </is>
      </c>
      <c r="G3" s="7" t="inlineStr"/>
      <c r="H3" s="7" t="inlineStr"/>
      <c r="I3" s="7" t="inlineStr">
        <is>
          <t>TAK</t>
        </is>
      </c>
    </row>
    <row r="4">
      <c r="A4" s="9" t="inlineStr">
        <is>
          <t>75337</t>
        </is>
      </c>
      <c r="B4" s="9" t="inlineStr">
        <is>
          <t>AT-TE Walker</t>
        </is>
      </c>
      <c r="C4" s="9" t="inlineStr">
        <is>
          <t>Star Wars</t>
        </is>
      </c>
      <c r="D4" s="9" t="n">
        <v>449.99</v>
      </c>
      <c r="E4" s="9" t="inlineStr">
        <is>
          <t>2025-06-30</t>
        </is>
      </c>
      <c r="F4" s="10" t="inlineStr">
        <is>
          <t>Wysoki</t>
        </is>
      </c>
      <c r="G4" s="9" t="inlineStr"/>
      <c r="H4" s="9" t="inlineStr"/>
      <c r="I4" s="9" t="inlineStr">
        <is>
          <t>TAK</t>
        </is>
      </c>
    </row>
    <row r="5">
      <c r="A5" s="7" t="inlineStr">
        <is>
          <t>42151</t>
        </is>
      </c>
      <c r="B5" s="7" t="inlineStr">
        <is>
          <t>Bugatti Bolide</t>
        </is>
      </c>
      <c r="C5" s="7" t="inlineStr">
        <is>
          <t>Technic</t>
        </is>
      </c>
      <c r="D5" s="7" t="n">
        <v>599.99</v>
      </c>
      <c r="E5" s="7" t="inlineStr">
        <is>
          <t>2025-12-31</t>
        </is>
      </c>
      <c r="F5" s="11" t="inlineStr">
        <is>
          <t>Średni</t>
        </is>
      </c>
      <c r="G5" s="7" t="inlineStr"/>
      <c r="H5" s="7" t="inlineStr"/>
      <c r="I5" s="7" t="inlineStr">
        <is>
          <t>TAK</t>
        </is>
      </c>
    </row>
    <row r="6">
      <c r="A6" s="9" t="inlineStr">
        <is>
          <t>21325</t>
        </is>
      </c>
      <c r="B6" s="9" t="inlineStr">
        <is>
          <t>Średniowieczna kuźnia</t>
        </is>
      </c>
      <c r="C6" s="9" t="inlineStr">
        <is>
          <t>Ideas</t>
        </is>
      </c>
      <c r="D6" s="9" t="n">
        <v>329.99</v>
      </c>
      <c r="E6" s="9" t="inlineStr">
        <is>
          <t>2025-12-31</t>
        </is>
      </c>
      <c r="F6" s="10" t="inlineStr">
        <is>
          <t>Wysoki</t>
        </is>
      </c>
      <c r="G6" s="9" t="inlineStr"/>
      <c r="H6" s="9" t="inlineStr"/>
      <c r="I6" s="9" t="inlineStr">
        <is>
          <t>TAK</t>
        </is>
      </c>
    </row>
    <row r="7">
      <c r="A7" s="7" t="inlineStr">
        <is>
          <t>10290</t>
        </is>
      </c>
      <c r="B7" s="7" t="inlineStr">
        <is>
          <t>Sklep z pizzą</t>
        </is>
      </c>
      <c r="C7" s="7" t="inlineStr">
        <is>
          <t>Creator Expert</t>
        </is>
      </c>
      <c r="D7" s="7" t="n">
        <v>269.99</v>
      </c>
      <c r="E7" s="7" t="inlineStr">
        <is>
          <t>2025-06-30</t>
        </is>
      </c>
      <c r="F7" s="11" t="inlineStr">
        <is>
          <t>Średni</t>
        </is>
      </c>
      <c r="G7" s="7" t="inlineStr"/>
      <c r="H7" s="7" t="inlineStr"/>
      <c r="I7" s="7" t="inlineStr">
        <is>
          <t>TAK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6" customWidth="1" min="3" max="3"/>
    <col width="14" customWidth="1" min="4" max="4"/>
    <col width="20" customWidth="1" min="5" max="5"/>
    <col width="20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2" customHeight="1">
      <c r="A1" s="5" t="inlineStr">
        <is>
          <t>📊 DANE DZIENNE  —  wypełniane automatycznie przez skrypt Python</t>
        </is>
      </c>
    </row>
    <row r="2" ht="28" customHeight="1">
      <c r="A2" s="6" t="inlineStr">
        <is>
          <t>Data</t>
        </is>
      </c>
      <c r="B2" s="6" t="inlineStr">
        <is>
          <t>Nr setu</t>
        </is>
      </c>
      <c r="C2" s="6" t="inlineStr">
        <is>
          <t>Nazwa zestawu</t>
        </is>
      </c>
      <c r="D2" s="6" t="inlineStr">
        <is>
          <t>Liczba ofert</t>
        </is>
      </c>
      <c r="E2" s="6" t="inlineStr">
        <is>
          <t>Cena najniższa (PLN)</t>
        </is>
      </c>
      <c r="F2" s="6" t="inlineStr">
        <is>
          <t>Cena średnia (PLN)</t>
        </is>
      </c>
      <c r="G2" s="6" t="inlineStr">
        <is>
          <t>Cena max (PLN)</t>
        </is>
      </c>
      <c r="H2" s="6" t="inlineStr">
        <is>
          <t>Zmiana ceny min %</t>
        </is>
      </c>
      <c r="I2" s="6" t="inlineStr">
        <is>
          <t>Liczba nowych ofert</t>
        </is>
      </c>
      <c r="J2" s="6" t="inlineStr">
        <is>
          <t>Uwagi skryptu</t>
        </is>
      </c>
    </row>
    <row r="3">
      <c r="A3" s="7" t="inlineStr">
        <is>
          <t>2026-05-12</t>
        </is>
      </c>
      <c r="B3" s="7" t="inlineStr">
        <is>
          <t>10311</t>
        </is>
      </c>
      <c r="C3" s="7" t="inlineStr">
        <is>
          <t>Orchidea</t>
        </is>
      </c>
      <c r="D3" s="7" t="n">
        <v>19</v>
      </c>
      <c r="E3" s="12" t="n">
        <v>190.97</v>
      </c>
      <c r="F3" s="12" t="n">
        <v>230.45</v>
      </c>
      <c r="G3" s="12" t="n">
        <v>287.03</v>
      </c>
      <c r="H3" s="13" t="n">
        <v>3.2</v>
      </c>
      <c r="I3" s="7" t="n">
        <v>4</v>
      </c>
      <c r="J3" s="7" t="inlineStr">
        <is>
          <t>OK</t>
        </is>
      </c>
    </row>
    <row r="4">
      <c r="A4" s="9" t="inlineStr">
        <is>
          <t>2026-05-12</t>
        </is>
      </c>
      <c r="B4" s="9" t="inlineStr">
        <is>
          <t>75337</t>
        </is>
      </c>
      <c r="C4" s="9" t="inlineStr">
        <is>
          <t>AT-TE Walker</t>
        </is>
      </c>
      <c r="D4" s="9" t="n">
        <v>38</v>
      </c>
      <c r="E4" s="14" t="n">
        <v>451.2</v>
      </c>
      <c r="F4" s="14" t="n">
        <v>481.15</v>
      </c>
      <c r="G4" s="14" t="n">
        <v>506.07</v>
      </c>
      <c r="H4" s="15" t="n">
        <v>-1.9</v>
      </c>
      <c r="I4" s="9" t="n">
        <v>0</v>
      </c>
      <c r="J4" s="9" t="inlineStr">
        <is>
          <t>OK</t>
        </is>
      </c>
    </row>
    <row r="5">
      <c r="A5" s="7" t="inlineStr">
        <is>
          <t>2026-05-12</t>
        </is>
      </c>
      <c r="B5" s="7" t="inlineStr">
        <is>
          <t>42151</t>
        </is>
      </c>
      <c r="C5" s="7" t="inlineStr">
        <is>
          <t>Bugatti Bolide</t>
        </is>
      </c>
      <c r="D5" s="7" t="n">
        <v>13</v>
      </c>
      <c r="E5" s="12" t="n">
        <v>615.59</v>
      </c>
      <c r="F5" s="12" t="n">
        <v>624.21</v>
      </c>
      <c r="G5" s="12" t="n">
        <v>651.14</v>
      </c>
      <c r="H5" s="13" t="n">
        <v>0.9</v>
      </c>
      <c r="I5" s="7" t="n">
        <v>1</v>
      </c>
      <c r="J5" s="7" t="inlineStr">
        <is>
          <t>OK</t>
        </is>
      </c>
    </row>
    <row r="6">
      <c r="A6" s="9" t="inlineStr">
        <is>
          <t>2026-05-13</t>
        </is>
      </c>
      <c r="B6" s="9" t="inlineStr">
        <is>
          <t>10311</t>
        </is>
      </c>
      <c r="C6" s="9" t="inlineStr">
        <is>
          <t>Orchidea</t>
        </is>
      </c>
      <c r="D6" s="9" t="n">
        <v>14</v>
      </c>
      <c r="E6" s="14" t="n">
        <v>195.9</v>
      </c>
      <c r="F6" s="14" t="n">
        <v>207.67</v>
      </c>
      <c r="G6" s="14" t="n">
        <v>234.32</v>
      </c>
      <c r="H6" s="16" t="n">
        <v>5.9</v>
      </c>
      <c r="I6" s="9" t="n">
        <v>2</v>
      </c>
      <c r="J6" s="9" t="inlineStr">
        <is>
          <t>OK</t>
        </is>
      </c>
    </row>
    <row r="7">
      <c r="A7" s="7" t="inlineStr">
        <is>
          <t>2026-05-13</t>
        </is>
      </c>
      <c r="B7" s="7" t="inlineStr">
        <is>
          <t>75337</t>
        </is>
      </c>
      <c r="C7" s="7" t="inlineStr">
        <is>
          <t>AT-TE Walker</t>
        </is>
      </c>
      <c r="D7" s="7" t="n">
        <v>19</v>
      </c>
      <c r="E7" s="12" t="n">
        <v>480.54</v>
      </c>
      <c r="F7" s="12" t="n">
        <v>515.88</v>
      </c>
      <c r="G7" s="12" t="n">
        <v>531.1900000000001</v>
      </c>
      <c r="H7" s="13" t="n">
        <v>4.5</v>
      </c>
      <c r="I7" s="7" t="n">
        <v>3</v>
      </c>
      <c r="J7" s="7" t="inlineStr">
        <is>
          <t>OK</t>
        </is>
      </c>
    </row>
    <row r="8">
      <c r="A8" s="9" t="inlineStr">
        <is>
          <t>2026-05-13</t>
        </is>
      </c>
      <c r="B8" s="9" t="inlineStr">
        <is>
          <t>42151</t>
        </is>
      </c>
      <c r="C8" s="9" t="inlineStr">
        <is>
          <t>Bugatti Bolide</t>
        </is>
      </c>
      <c r="D8" s="9" t="n">
        <v>37</v>
      </c>
      <c r="E8" s="14" t="n">
        <v>632.0700000000001</v>
      </c>
      <c r="F8" s="14" t="n">
        <v>670.4</v>
      </c>
      <c r="G8" s="14" t="n">
        <v>715.33</v>
      </c>
      <c r="H8" s="16" t="n">
        <v>3.6</v>
      </c>
      <c r="I8" s="9" t="n">
        <v>4</v>
      </c>
      <c r="J8" s="9" t="inlineStr">
        <is>
          <t>OK</t>
        </is>
      </c>
    </row>
    <row r="9">
      <c r="A9" s="7" t="inlineStr">
        <is>
          <t>2026-05-14</t>
        </is>
      </c>
      <c r="B9" s="7" t="inlineStr">
        <is>
          <t>10311</t>
        </is>
      </c>
      <c r="C9" s="7" t="inlineStr">
        <is>
          <t>Orchidea</t>
        </is>
      </c>
      <c r="D9" s="7" t="n">
        <v>14</v>
      </c>
      <c r="E9" s="12" t="n">
        <v>188.42</v>
      </c>
      <c r="F9" s="12" t="n">
        <v>210.67</v>
      </c>
      <c r="G9" s="12" t="n">
        <v>228.06</v>
      </c>
      <c r="H9" s="13" t="n">
        <v>1.8</v>
      </c>
      <c r="I9" s="7" t="n">
        <v>1</v>
      </c>
      <c r="J9" s="7" t="inlineStr">
        <is>
          <t>OK</t>
        </is>
      </c>
    </row>
    <row r="10">
      <c r="A10" s="9" t="inlineStr">
        <is>
          <t>2026-05-14</t>
        </is>
      </c>
      <c r="B10" s="9" t="inlineStr">
        <is>
          <t>75337</t>
        </is>
      </c>
      <c r="C10" s="9" t="inlineStr">
        <is>
          <t>AT-TE Walker</t>
        </is>
      </c>
      <c r="D10" s="9" t="n">
        <v>38</v>
      </c>
      <c r="E10" s="14" t="n">
        <v>470.46</v>
      </c>
      <c r="F10" s="14" t="n">
        <v>504.99</v>
      </c>
      <c r="G10" s="14" t="n">
        <v>518.53</v>
      </c>
      <c r="H10" s="16" t="n">
        <v>2.3</v>
      </c>
      <c r="I10" s="9" t="n">
        <v>1</v>
      </c>
      <c r="J10" s="9" t="inlineStr">
        <is>
          <t>OK</t>
        </is>
      </c>
    </row>
    <row r="11">
      <c r="A11" s="7" t="inlineStr">
        <is>
          <t>2026-05-14</t>
        </is>
      </c>
      <c r="B11" s="7" t="inlineStr">
        <is>
          <t>42151</t>
        </is>
      </c>
      <c r="C11" s="7" t="inlineStr">
        <is>
          <t>Bugatti Bolide</t>
        </is>
      </c>
      <c r="D11" s="7" t="n">
        <v>11</v>
      </c>
      <c r="E11" s="12" t="n">
        <v>625.77</v>
      </c>
      <c r="F11" s="12" t="n">
        <v>659.38</v>
      </c>
      <c r="G11" s="12" t="n">
        <v>687.39</v>
      </c>
      <c r="H11" s="13" t="n">
        <v>2.6</v>
      </c>
      <c r="I11" s="7" t="n">
        <v>0</v>
      </c>
      <c r="J11" s="7" t="inlineStr">
        <is>
          <t>OK</t>
        </is>
      </c>
    </row>
    <row r="12">
      <c r="A12" s="9" t="inlineStr">
        <is>
          <t>2026-05-15</t>
        </is>
      </c>
      <c r="B12" s="9" t="inlineStr">
        <is>
          <t>10311</t>
        </is>
      </c>
      <c r="C12" s="9" t="inlineStr">
        <is>
          <t>Orchidea</t>
        </is>
      </c>
      <c r="D12" s="9" t="n">
        <v>9</v>
      </c>
      <c r="E12" s="14" t="n">
        <v>202.32</v>
      </c>
      <c r="F12" s="14" t="n">
        <v>221.69</v>
      </c>
      <c r="G12" s="14" t="n">
        <v>270.21</v>
      </c>
      <c r="H12" s="16" t="n">
        <v>9.4</v>
      </c>
      <c r="I12" s="9" t="n">
        <v>0</v>
      </c>
      <c r="J12" s="9" t="inlineStr">
        <is>
          <t>OK</t>
        </is>
      </c>
    </row>
    <row r="13">
      <c r="A13" s="7" t="inlineStr">
        <is>
          <t>2026-05-15</t>
        </is>
      </c>
      <c r="B13" s="7" t="inlineStr">
        <is>
          <t>75337</t>
        </is>
      </c>
      <c r="C13" s="7" t="inlineStr">
        <is>
          <t>AT-TE Walker</t>
        </is>
      </c>
      <c r="D13" s="7" t="n">
        <v>35</v>
      </c>
      <c r="E13" s="12" t="n">
        <v>462.5</v>
      </c>
      <c r="F13" s="12" t="n">
        <v>469.49</v>
      </c>
      <c r="G13" s="12" t="n">
        <v>529.1</v>
      </c>
      <c r="H13" s="13" t="n">
        <v>0.5</v>
      </c>
      <c r="I13" s="7" t="n">
        <v>0</v>
      </c>
      <c r="J13" s="7" t="inlineStr">
        <is>
          <t>OK</t>
        </is>
      </c>
    </row>
    <row r="14">
      <c r="A14" s="9" t="inlineStr">
        <is>
          <t>2026-05-15</t>
        </is>
      </c>
      <c r="B14" s="9" t="inlineStr">
        <is>
          <t>42151</t>
        </is>
      </c>
      <c r="C14" s="9" t="inlineStr">
        <is>
          <t>Bugatti Bolide</t>
        </is>
      </c>
      <c r="D14" s="9" t="n">
        <v>20</v>
      </c>
      <c r="E14" s="14" t="n">
        <v>619.66</v>
      </c>
      <c r="F14" s="14" t="n">
        <v>636.8200000000001</v>
      </c>
      <c r="G14" s="14" t="n">
        <v>665.1900000000001</v>
      </c>
      <c r="H14" s="16" t="n">
        <v>1.6</v>
      </c>
      <c r="I14" s="9" t="n">
        <v>2</v>
      </c>
      <c r="J14" s="9" t="inlineStr">
        <is>
          <t>OK</t>
        </is>
      </c>
    </row>
    <row r="15">
      <c r="A15" s="7" t="inlineStr">
        <is>
          <t>2026-05-16</t>
        </is>
      </c>
      <c r="B15" s="7" t="inlineStr">
        <is>
          <t>10311</t>
        </is>
      </c>
      <c r="C15" s="7" t="inlineStr">
        <is>
          <t>Orchidea</t>
        </is>
      </c>
      <c r="D15" s="7" t="n">
        <v>13</v>
      </c>
      <c r="E15" s="12" t="n">
        <v>201.62</v>
      </c>
      <c r="F15" s="12" t="n">
        <v>229.24</v>
      </c>
      <c r="G15" s="12" t="n">
        <v>244.8</v>
      </c>
      <c r="H15" s="13" t="n">
        <v>9</v>
      </c>
      <c r="I15" s="7" t="n">
        <v>2</v>
      </c>
      <c r="J15" s="7" t="inlineStr">
        <is>
          <t>OK</t>
        </is>
      </c>
    </row>
    <row r="16">
      <c r="A16" s="9" t="inlineStr">
        <is>
          <t>2026-05-16</t>
        </is>
      </c>
      <c r="B16" s="9" t="inlineStr">
        <is>
          <t>75337</t>
        </is>
      </c>
      <c r="C16" s="9" t="inlineStr">
        <is>
          <t>AT-TE Walker</t>
        </is>
      </c>
      <c r="D16" s="9" t="n">
        <v>29</v>
      </c>
      <c r="E16" s="14" t="n">
        <v>456.23</v>
      </c>
      <c r="F16" s="14" t="n">
        <v>488.85</v>
      </c>
      <c r="G16" s="14" t="n">
        <v>527.98</v>
      </c>
      <c r="H16" s="15" t="n">
        <v>-0.8</v>
      </c>
      <c r="I16" s="9" t="n">
        <v>1</v>
      </c>
      <c r="J16" s="9" t="inlineStr">
        <is>
          <t>OK</t>
        </is>
      </c>
    </row>
    <row r="17">
      <c r="A17" s="7" t="inlineStr">
        <is>
          <t>2026-05-16</t>
        </is>
      </c>
      <c r="B17" s="7" t="inlineStr">
        <is>
          <t>42151</t>
        </is>
      </c>
      <c r="C17" s="7" t="inlineStr">
        <is>
          <t>Bugatti Bolide</t>
        </is>
      </c>
      <c r="D17" s="7" t="n">
        <v>20</v>
      </c>
      <c r="E17" s="12" t="n">
        <v>601.71</v>
      </c>
      <c r="F17" s="12" t="n">
        <v>608.6799999999999</v>
      </c>
      <c r="G17" s="12" t="n">
        <v>640.73</v>
      </c>
      <c r="H17" s="17" t="n">
        <v>-1.4</v>
      </c>
      <c r="I17" s="7" t="n">
        <v>5</v>
      </c>
      <c r="J17" s="7" t="inlineStr">
        <is>
          <t>OK</t>
        </is>
      </c>
    </row>
    <row r="18">
      <c r="A18" s="9" t="inlineStr">
        <is>
          <t>2026-05-17</t>
        </is>
      </c>
      <c r="B18" s="9" t="inlineStr">
        <is>
          <t>10311</t>
        </is>
      </c>
      <c r="C18" s="9" t="inlineStr">
        <is>
          <t>Orchidea</t>
        </is>
      </c>
      <c r="D18" s="9" t="n">
        <v>30</v>
      </c>
      <c r="E18" s="14" t="n">
        <v>196.28</v>
      </c>
      <c r="F18" s="14" t="n">
        <v>219.96</v>
      </c>
      <c r="G18" s="14" t="n">
        <v>249.56</v>
      </c>
      <c r="H18" s="16" t="n">
        <v>6.1</v>
      </c>
      <c r="I18" s="9" t="n">
        <v>3</v>
      </c>
      <c r="J18" s="9" t="inlineStr">
        <is>
          <t>OK</t>
        </is>
      </c>
    </row>
    <row r="19">
      <c r="A19" s="7" t="inlineStr">
        <is>
          <t>2026-05-17</t>
        </is>
      </c>
      <c r="B19" s="7" t="inlineStr">
        <is>
          <t>75337</t>
        </is>
      </c>
      <c r="C19" s="7" t="inlineStr">
        <is>
          <t>AT-TE Walker</t>
        </is>
      </c>
      <c r="D19" s="7" t="n">
        <v>16</v>
      </c>
      <c r="E19" s="12" t="n">
        <v>464.25</v>
      </c>
      <c r="F19" s="12" t="n">
        <v>497.53</v>
      </c>
      <c r="G19" s="12" t="n">
        <v>546.95</v>
      </c>
      <c r="H19" s="13" t="n">
        <v>0.9</v>
      </c>
      <c r="I19" s="7" t="n">
        <v>0</v>
      </c>
      <c r="J19" s="7" t="inlineStr">
        <is>
          <t>OK</t>
        </is>
      </c>
    </row>
    <row r="20">
      <c r="A20" s="9" t="inlineStr">
        <is>
          <t>2026-05-17</t>
        </is>
      </c>
      <c r="B20" s="9" t="inlineStr">
        <is>
          <t>42151</t>
        </is>
      </c>
      <c r="C20" s="9" t="inlineStr">
        <is>
          <t>Bugatti Bolide</t>
        </is>
      </c>
      <c r="D20" s="9" t="n">
        <v>8</v>
      </c>
      <c r="E20" s="14" t="n">
        <v>611.85</v>
      </c>
      <c r="F20" s="14" t="n">
        <v>651.7</v>
      </c>
      <c r="G20" s="14" t="n">
        <v>698.97</v>
      </c>
      <c r="H20" s="16" t="n">
        <v>0.3</v>
      </c>
      <c r="I20" s="9" t="n">
        <v>2</v>
      </c>
      <c r="J20" s="9" t="inlineStr">
        <is>
          <t>OK</t>
        </is>
      </c>
    </row>
    <row r="21">
      <c r="A21" s="7" t="inlineStr">
        <is>
          <t>2026-05-18</t>
        </is>
      </c>
      <c r="B21" s="7" t="inlineStr">
        <is>
          <t>10311</t>
        </is>
      </c>
      <c r="C21" s="7" t="inlineStr">
        <is>
          <t>Orchidea</t>
        </is>
      </c>
      <c r="D21" s="7" t="n">
        <v>30</v>
      </c>
      <c r="E21" s="12" t="n">
        <v>207.74</v>
      </c>
      <c r="F21" s="12" t="n">
        <v>245.92</v>
      </c>
      <c r="G21" s="12" t="n">
        <v>298.08</v>
      </c>
      <c r="H21" s="13" t="n">
        <v>12.3</v>
      </c>
      <c r="I21" s="7" t="n">
        <v>5</v>
      </c>
      <c r="J21" s="7" t="inlineStr">
        <is>
          <t>OK</t>
        </is>
      </c>
    </row>
    <row r="22">
      <c r="A22" s="9" t="inlineStr">
        <is>
          <t>2026-05-18</t>
        </is>
      </c>
      <c r="B22" s="9" t="inlineStr">
        <is>
          <t>75337</t>
        </is>
      </c>
      <c r="C22" s="9" t="inlineStr">
        <is>
          <t>AT-TE Walker</t>
        </is>
      </c>
      <c r="D22" s="9" t="n">
        <v>36</v>
      </c>
      <c r="E22" s="14" t="n">
        <v>480.57</v>
      </c>
      <c r="F22" s="14" t="n">
        <v>498.63</v>
      </c>
      <c r="G22" s="14" t="n">
        <v>522.99</v>
      </c>
      <c r="H22" s="16" t="n">
        <v>4.5</v>
      </c>
      <c r="I22" s="9" t="n">
        <v>5</v>
      </c>
      <c r="J22" s="9" t="inlineStr">
        <is>
          <t>OK</t>
        </is>
      </c>
    </row>
    <row r="23">
      <c r="A23" s="7" t="inlineStr">
        <is>
          <t>2026-05-18</t>
        </is>
      </c>
      <c r="B23" s="7" t="inlineStr">
        <is>
          <t>42151</t>
        </is>
      </c>
      <c r="C23" s="7" t="inlineStr">
        <is>
          <t>Bugatti Bolide</t>
        </is>
      </c>
      <c r="D23" s="7" t="n">
        <v>36</v>
      </c>
      <c r="E23" s="12" t="n">
        <v>604.16</v>
      </c>
      <c r="F23" s="12" t="n">
        <v>614.89</v>
      </c>
      <c r="G23" s="12" t="n">
        <v>669.42</v>
      </c>
      <c r="H23" s="17" t="n">
        <v>-1</v>
      </c>
      <c r="I23" s="7" t="n">
        <v>3</v>
      </c>
      <c r="J23" s="7" t="inlineStr">
        <is>
          <t>OK</t>
        </is>
      </c>
    </row>
    <row r="24">
      <c r="A24" s="9" t="inlineStr">
        <is>
          <t>2026-05-19</t>
        </is>
      </c>
      <c r="B24" s="9" t="inlineStr">
        <is>
          <t>10311</t>
        </is>
      </c>
      <c r="C24" s="9" t="inlineStr">
        <is>
          <t>Orchidea</t>
        </is>
      </c>
      <c r="D24" s="9" t="n">
        <v>44</v>
      </c>
      <c r="E24" s="14" t="n">
        <v>175.68</v>
      </c>
      <c r="F24" s="14" t="n">
        <v>187.41</v>
      </c>
      <c r="G24" s="14" t="n">
        <v>225.52</v>
      </c>
      <c r="H24" s="15" t="n">
        <v>-5</v>
      </c>
      <c r="I24" s="9" t="n">
        <v>2</v>
      </c>
      <c r="J24" s="9" t="inlineStr">
        <is>
          <t>OK</t>
        </is>
      </c>
    </row>
    <row r="25">
      <c r="A25" s="7" t="inlineStr">
        <is>
          <t>2026-05-19</t>
        </is>
      </c>
      <c r="B25" s="7" t="inlineStr">
        <is>
          <t>75337</t>
        </is>
      </c>
      <c r="C25" s="7" t="inlineStr">
        <is>
          <t>AT-TE Walker</t>
        </is>
      </c>
      <c r="D25" s="7" t="n">
        <v>24</v>
      </c>
      <c r="E25" s="12" t="n">
        <v>475.6</v>
      </c>
      <c r="F25" s="12" t="n">
        <v>502.31</v>
      </c>
      <c r="G25" s="12" t="n">
        <v>553.6799999999999</v>
      </c>
      <c r="H25" s="13" t="n">
        <v>3.4</v>
      </c>
      <c r="I25" s="7" t="n">
        <v>1</v>
      </c>
      <c r="J25" s="7" t="inlineStr">
        <is>
          <t>OK</t>
        </is>
      </c>
    </row>
    <row r="26">
      <c r="A26" s="9" t="inlineStr">
        <is>
          <t>2026-05-19</t>
        </is>
      </c>
      <c r="B26" s="9" t="inlineStr">
        <is>
          <t>42151</t>
        </is>
      </c>
      <c r="C26" s="9" t="inlineStr">
        <is>
          <t>Bugatti Bolide</t>
        </is>
      </c>
      <c r="D26" s="9" t="n">
        <v>33</v>
      </c>
      <c r="E26" s="14" t="n">
        <v>600.74</v>
      </c>
      <c r="F26" s="14" t="n">
        <v>635.37</v>
      </c>
      <c r="G26" s="14" t="n">
        <v>659.24</v>
      </c>
      <c r="H26" s="15" t="n">
        <v>-1.5</v>
      </c>
      <c r="I26" s="9" t="n">
        <v>5</v>
      </c>
      <c r="J26" s="9" t="inlineStr">
        <is>
          <t>OK</t>
        </is>
      </c>
    </row>
    <row r="27">
      <c r="A27" s="7" t="inlineStr">
        <is>
          <t>2026-05-20</t>
        </is>
      </c>
      <c r="B27" s="7" t="inlineStr">
        <is>
          <t>10311</t>
        </is>
      </c>
      <c r="C27" s="7" t="inlineStr">
        <is>
          <t>Orchidea</t>
        </is>
      </c>
      <c r="D27" s="7" t="n">
        <v>43</v>
      </c>
      <c r="E27" s="12" t="n">
        <v>176.45</v>
      </c>
      <c r="F27" s="12" t="n">
        <v>197.53</v>
      </c>
      <c r="G27" s="12" t="n">
        <v>256.34</v>
      </c>
      <c r="H27" s="17" t="n">
        <v>-4.6</v>
      </c>
      <c r="I27" s="7" t="n">
        <v>2</v>
      </c>
      <c r="J27" s="7" t="inlineStr">
        <is>
          <t>OK</t>
        </is>
      </c>
    </row>
    <row r="28">
      <c r="A28" s="9" t="inlineStr">
        <is>
          <t>2026-05-20</t>
        </is>
      </c>
      <c r="B28" s="9" t="inlineStr">
        <is>
          <t>75337</t>
        </is>
      </c>
      <c r="C28" s="9" t="inlineStr">
        <is>
          <t>AT-TE Walker</t>
        </is>
      </c>
      <c r="D28" s="9" t="n">
        <v>45</v>
      </c>
      <c r="E28" s="14" t="n">
        <v>465.14</v>
      </c>
      <c r="F28" s="14" t="n">
        <v>500.84</v>
      </c>
      <c r="G28" s="14" t="n">
        <v>532.37</v>
      </c>
      <c r="H28" s="16" t="n">
        <v>1.1</v>
      </c>
      <c r="I28" s="9" t="n">
        <v>1</v>
      </c>
      <c r="J28" s="9" t="inlineStr">
        <is>
          <t>OK</t>
        </is>
      </c>
    </row>
    <row r="29">
      <c r="A29" s="7" t="inlineStr">
        <is>
          <t>2026-05-20</t>
        </is>
      </c>
      <c r="B29" s="7" t="inlineStr">
        <is>
          <t>42151</t>
        </is>
      </c>
      <c r="C29" s="7" t="inlineStr">
        <is>
          <t>Bugatti Bolide</t>
        </is>
      </c>
      <c r="D29" s="7" t="n">
        <v>16</v>
      </c>
      <c r="E29" s="12" t="n">
        <v>610.35</v>
      </c>
      <c r="F29" s="12" t="n">
        <v>638.5599999999999</v>
      </c>
      <c r="G29" s="12" t="n">
        <v>670.59</v>
      </c>
      <c r="H29" s="13" t="n">
        <v>0.1</v>
      </c>
      <c r="I29" s="7" t="n">
        <v>3</v>
      </c>
      <c r="J29" s="7" t="inlineStr">
        <is>
          <t>OK</t>
        </is>
      </c>
    </row>
    <row r="30">
      <c r="A30" s="9" t="inlineStr">
        <is>
          <t>2026-05-21</t>
        </is>
      </c>
      <c r="B30" s="9" t="inlineStr">
        <is>
          <t>10311</t>
        </is>
      </c>
      <c r="C30" s="9" t="inlineStr">
        <is>
          <t>Orchidea</t>
        </is>
      </c>
      <c r="D30" s="9" t="n">
        <v>28</v>
      </c>
      <c r="E30" s="14" t="n">
        <v>178.46</v>
      </c>
      <c r="F30" s="14" t="n">
        <v>201.04</v>
      </c>
      <c r="G30" s="14" t="n">
        <v>215.3</v>
      </c>
      <c r="H30" s="15" t="n">
        <v>-3.5</v>
      </c>
      <c r="I30" s="9" t="n">
        <v>0</v>
      </c>
      <c r="J30" s="9" t="inlineStr">
        <is>
          <t>OK</t>
        </is>
      </c>
    </row>
    <row r="31">
      <c r="A31" s="7" t="inlineStr">
        <is>
          <t>2026-05-21</t>
        </is>
      </c>
      <c r="B31" s="7" t="inlineStr">
        <is>
          <t>75337</t>
        </is>
      </c>
      <c r="C31" s="7" t="inlineStr">
        <is>
          <t>AT-TE Walker</t>
        </is>
      </c>
      <c r="D31" s="7" t="n">
        <v>41</v>
      </c>
      <c r="E31" s="12" t="n">
        <v>482.57</v>
      </c>
      <c r="F31" s="12" t="n">
        <v>520.62</v>
      </c>
      <c r="G31" s="12" t="n">
        <v>551.75</v>
      </c>
      <c r="H31" s="13" t="n">
        <v>4.9</v>
      </c>
      <c r="I31" s="7" t="n">
        <v>3</v>
      </c>
      <c r="J31" s="7" t="inlineStr">
        <is>
          <t>OK</t>
        </is>
      </c>
    </row>
    <row r="32">
      <c r="A32" s="9" t="inlineStr">
        <is>
          <t>2026-05-21</t>
        </is>
      </c>
      <c r="B32" s="9" t="inlineStr">
        <is>
          <t>42151</t>
        </is>
      </c>
      <c r="C32" s="9" t="inlineStr">
        <is>
          <t>Bugatti Bolide</t>
        </is>
      </c>
      <c r="D32" s="9" t="n">
        <v>18</v>
      </c>
      <c r="E32" s="14" t="n">
        <v>610.65</v>
      </c>
      <c r="F32" s="14" t="n">
        <v>617.91</v>
      </c>
      <c r="G32" s="14" t="n">
        <v>656.03</v>
      </c>
      <c r="H32" s="16" t="n">
        <v>0.1</v>
      </c>
      <c r="I32" s="9" t="n">
        <v>3</v>
      </c>
      <c r="J32" s="9" t="inlineStr">
        <is>
          <t>OK</t>
        </is>
      </c>
    </row>
    <row r="33">
      <c r="A33" s="7" t="inlineStr">
        <is>
          <t>2026-05-22</t>
        </is>
      </c>
      <c r="B33" s="7" t="inlineStr">
        <is>
          <t>10311</t>
        </is>
      </c>
      <c r="C33" s="7" t="inlineStr">
        <is>
          <t>Orchidea</t>
        </is>
      </c>
      <c r="D33" s="7" t="n">
        <v>18</v>
      </c>
      <c r="E33" s="12" t="n">
        <v>181.62</v>
      </c>
      <c r="F33" s="12" t="n">
        <v>221.43</v>
      </c>
      <c r="G33" s="12" t="n">
        <v>266.03</v>
      </c>
      <c r="H33" s="17" t="n">
        <v>-1.8</v>
      </c>
      <c r="I33" s="7" t="n">
        <v>1</v>
      </c>
      <c r="J33" s="7" t="inlineStr">
        <is>
          <t>OK</t>
        </is>
      </c>
    </row>
    <row r="34">
      <c r="A34" s="9" t="inlineStr">
        <is>
          <t>2026-05-22</t>
        </is>
      </c>
      <c r="B34" s="9" t="inlineStr">
        <is>
          <t>75337</t>
        </is>
      </c>
      <c r="C34" s="9" t="inlineStr">
        <is>
          <t>AT-TE Walker</t>
        </is>
      </c>
      <c r="D34" s="9" t="n">
        <v>29</v>
      </c>
      <c r="E34" s="14" t="n">
        <v>454.1</v>
      </c>
      <c r="F34" s="14" t="n">
        <v>461.76</v>
      </c>
      <c r="G34" s="14" t="n">
        <v>498.26</v>
      </c>
      <c r="H34" s="15" t="n">
        <v>-1.3</v>
      </c>
      <c r="I34" s="9" t="n">
        <v>0</v>
      </c>
      <c r="J34" s="9" t="inlineStr">
        <is>
          <t>OK</t>
        </is>
      </c>
    </row>
    <row r="35">
      <c r="A35" s="7" t="inlineStr">
        <is>
          <t>2026-05-22</t>
        </is>
      </c>
      <c r="B35" s="7" t="inlineStr">
        <is>
          <t>42151</t>
        </is>
      </c>
      <c r="C35" s="7" t="inlineStr">
        <is>
          <t>Bugatti Bolide</t>
        </is>
      </c>
      <c r="D35" s="7" t="n">
        <v>17</v>
      </c>
      <c r="E35" s="12" t="n">
        <v>603.1900000000001</v>
      </c>
      <c r="F35" s="12" t="n">
        <v>638.08</v>
      </c>
      <c r="G35" s="12" t="n">
        <v>694.64</v>
      </c>
      <c r="H35" s="17" t="n">
        <v>-1.1</v>
      </c>
      <c r="I35" s="7" t="n">
        <v>4</v>
      </c>
      <c r="J35" s="7" t="inlineStr">
        <is>
          <t>OK</t>
        </is>
      </c>
    </row>
    <row r="36">
      <c r="A36" s="9" t="inlineStr">
        <is>
          <t>2026-05-23</t>
        </is>
      </c>
      <c r="B36" s="9" t="inlineStr">
        <is>
          <t>10311</t>
        </is>
      </c>
      <c r="C36" s="9" t="inlineStr">
        <is>
          <t>Orchidea</t>
        </is>
      </c>
      <c r="D36" s="9" t="n">
        <v>20</v>
      </c>
      <c r="E36" s="14" t="n">
        <v>187.75</v>
      </c>
      <c r="F36" s="14" t="n">
        <v>205.4</v>
      </c>
      <c r="G36" s="14" t="n">
        <v>263.14</v>
      </c>
      <c r="H36" s="16" t="n">
        <v>1.5</v>
      </c>
      <c r="I36" s="9" t="n">
        <v>5</v>
      </c>
      <c r="J36" s="9" t="inlineStr">
        <is>
          <t>OK</t>
        </is>
      </c>
    </row>
    <row r="37">
      <c r="A37" s="7" t="inlineStr">
        <is>
          <t>2026-05-23</t>
        </is>
      </c>
      <c r="B37" s="7" t="inlineStr">
        <is>
          <t>75337</t>
        </is>
      </c>
      <c r="C37" s="7" t="inlineStr">
        <is>
          <t>AT-TE Walker</t>
        </is>
      </c>
      <c r="D37" s="7" t="n">
        <v>33</v>
      </c>
      <c r="E37" s="12" t="n">
        <v>479.93</v>
      </c>
      <c r="F37" s="12" t="n">
        <v>508.77</v>
      </c>
      <c r="G37" s="12" t="n">
        <v>542.73</v>
      </c>
      <c r="H37" s="13" t="n">
        <v>4.3</v>
      </c>
      <c r="I37" s="7" t="n">
        <v>4</v>
      </c>
      <c r="J37" s="7" t="inlineStr">
        <is>
          <t>OK</t>
        </is>
      </c>
    </row>
    <row r="38">
      <c r="A38" s="9" t="inlineStr">
        <is>
          <t>2026-05-23</t>
        </is>
      </c>
      <c r="B38" s="9" t="inlineStr">
        <is>
          <t>42151</t>
        </is>
      </c>
      <c r="C38" s="9" t="inlineStr">
        <is>
          <t>Bugatti Bolide</t>
        </is>
      </c>
      <c r="D38" s="9" t="n">
        <v>35</v>
      </c>
      <c r="E38" s="14" t="n">
        <v>600.8200000000001</v>
      </c>
      <c r="F38" s="14" t="n">
        <v>611.71</v>
      </c>
      <c r="G38" s="14" t="n">
        <v>650.8</v>
      </c>
      <c r="H38" s="15" t="n">
        <v>-1.5</v>
      </c>
      <c r="I38" s="9" t="n">
        <v>3</v>
      </c>
      <c r="J38" s="9" t="inlineStr">
        <is>
          <t>OK</t>
        </is>
      </c>
    </row>
    <row r="39">
      <c r="A39" s="7" t="inlineStr">
        <is>
          <t>2026-05-24</t>
        </is>
      </c>
      <c r="B39" s="7" t="inlineStr">
        <is>
          <t>10311</t>
        </is>
      </c>
      <c r="C39" s="7" t="inlineStr">
        <is>
          <t>Orchidea</t>
        </is>
      </c>
      <c r="D39" s="7" t="n">
        <v>23</v>
      </c>
      <c r="E39" s="12" t="n">
        <v>177.32</v>
      </c>
      <c r="F39" s="12" t="n">
        <v>197.49</v>
      </c>
      <c r="G39" s="12" t="n">
        <v>218.58</v>
      </c>
      <c r="H39" s="17" t="n">
        <v>-4.2</v>
      </c>
      <c r="I39" s="7" t="n">
        <v>2</v>
      </c>
      <c r="J39" s="7" t="inlineStr">
        <is>
          <t>OK</t>
        </is>
      </c>
    </row>
    <row r="40">
      <c r="A40" s="9" t="inlineStr">
        <is>
          <t>2026-05-24</t>
        </is>
      </c>
      <c r="B40" s="9" t="inlineStr">
        <is>
          <t>75337</t>
        </is>
      </c>
      <c r="C40" s="9" t="inlineStr">
        <is>
          <t>AT-TE Walker</t>
        </is>
      </c>
      <c r="D40" s="9" t="n">
        <v>21</v>
      </c>
      <c r="E40" s="14" t="n">
        <v>472.21</v>
      </c>
      <c r="F40" s="14" t="n">
        <v>500.96</v>
      </c>
      <c r="G40" s="14" t="n">
        <v>540.12</v>
      </c>
      <c r="H40" s="16" t="n">
        <v>2.7</v>
      </c>
      <c r="I40" s="9" t="n">
        <v>0</v>
      </c>
      <c r="J40" s="9" t="inlineStr">
        <is>
          <t>OK</t>
        </is>
      </c>
    </row>
    <row r="41">
      <c r="A41" s="7" t="inlineStr">
        <is>
          <t>2026-05-24</t>
        </is>
      </c>
      <c r="B41" s="7" t="inlineStr">
        <is>
          <t>42151</t>
        </is>
      </c>
      <c r="C41" s="7" t="inlineStr">
        <is>
          <t>Bugatti Bolide</t>
        </is>
      </c>
      <c r="D41" s="7" t="n">
        <v>35</v>
      </c>
      <c r="E41" s="12" t="n">
        <v>600.0599999999999</v>
      </c>
      <c r="F41" s="12" t="n">
        <v>614</v>
      </c>
      <c r="G41" s="12" t="n">
        <v>639.63</v>
      </c>
      <c r="H41" s="17" t="n">
        <v>-1.6</v>
      </c>
      <c r="I41" s="7" t="n">
        <v>2</v>
      </c>
      <c r="J41" s="7" t="inlineStr">
        <is>
          <t>OK</t>
        </is>
      </c>
    </row>
    <row r="42">
      <c r="A42" s="9" t="inlineStr">
        <is>
          <t>2026-05-25</t>
        </is>
      </c>
      <c r="B42" s="9" t="inlineStr">
        <is>
          <t>10311</t>
        </is>
      </c>
      <c r="C42" s="9" t="inlineStr">
        <is>
          <t>Orchidea</t>
        </is>
      </c>
      <c r="D42" s="9" t="n">
        <v>16</v>
      </c>
      <c r="E42" s="14" t="n">
        <v>208.79</v>
      </c>
      <c r="F42" s="14" t="n">
        <v>224.7</v>
      </c>
      <c r="G42" s="14" t="n">
        <v>280.88</v>
      </c>
      <c r="H42" s="16" t="n">
        <v>12.9</v>
      </c>
      <c r="I42" s="9" t="n">
        <v>0</v>
      </c>
      <c r="J42" s="9" t="inlineStr">
        <is>
          <t>OK</t>
        </is>
      </c>
    </row>
    <row r="43">
      <c r="A43" s="7" t="inlineStr">
        <is>
          <t>2026-05-25</t>
        </is>
      </c>
      <c r="B43" s="7" t="inlineStr">
        <is>
          <t>75337</t>
        </is>
      </c>
      <c r="C43" s="7" t="inlineStr">
        <is>
          <t>AT-TE Walker</t>
        </is>
      </c>
      <c r="D43" s="7" t="n">
        <v>18</v>
      </c>
      <c r="E43" s="12" t="n">
        <v>481.68</v>
      </c>
      <c r="F43" s="12" t="n">
        <v>497.83</v>
      </c>
      <c r="G43" s="12" t="n">
        <v>512.8200000000001</v>
      </c>
      <c r="H43" s="13" t="n">
        <v>4.7</v>
      </c>
      <c r="I43" s="7" t="n">
        <v>3</v>
      </c>
      <c r="J43" s="7" t="inlineStr">
        <is>
          <t>OK</t>
        </is>
      </c>
    </row>
    <row r="44">
      <c r="A44" s="9" t="inlineStr">
        <is>
          <t>2026-05-25</t>
        </is>
      </c>
      <c r="B44" s="9" t="inlineStr">
        <is>
          <t>42151</t>
        </is>
      </c>
      <c r="C44" s="9" t="inlineStr">
        <is>
          <t>Bugatti Bolide</t>
        </is>
      </c>
      <c r="D44" s="9" t="n">
        <v>24</v>
      </c>
      <c r="E44" s="14" t="n">
        <v>634.03</v>
      </c>
      <c r="F44" s="14" t="n">
        <v>641.04</v>
      </c>
      <c r="G44" s="14" t="n">
        <v>678.8099999999999</v>
      </c>
      <c r="H44" s="16" t="n">
        <v>3.9</v>
      </c>
      <c r="I44" s="9" t="n">
        <v>3</v>
      </c>
      <c r="J44" s="9" t="inlineStr">
        <is>
          <t>OK</t>
        </is>
      </c>
    </row>
    <row r="45">
      <c r="A45" s="7" t="inlineStr">
        <is>
          <t>2026-05-26</t>
        </is>
      </c>
      <c r="B45" s="7" t="inlineStr">
        <is>
          <t>10311</t>
        </is>
      </c>
      <c r="C45" s="7" t="inlineStr">
        <is>
          <t>Orchidea</t>
        </is>
      </c>
      <c r="D45" s="7" t="n">
        <v>30</v>
      </c>
      <c r="E45" s="12" t="n">
        <v>197.09</v>
      </c>
      <c r="F45" s="12" t="n">
        <v>213.42</v>
      </c>
      <c r="G45" s="12" t="n">
        <v>254.69</v>
      </c>
      <c r="H45" s="13" t="n">
        <v>6.5</v>
      </c>
      <c r="I45" s="7" t="n">
        <v>4</v>
      </c>
      <c r="J45" s="7" t="inlineStr">
        <is>
          <t>OK</t>
        </is>
      </c>
    </row>
    <row r="46">
      <c r="A46" s="9" t="inlineStr">
        <is>
          <t>2026-05-26</t>
        </is>
      </c>
      <c r="B46" s="9" t="inlineStr">
        <is>
          <t>75337</t>
        </is>
      </c>
      <c r="C46" s="9" t="inlineStr">
        <is>
          <t>AT-TE Walker</t>
        </is>
      </c>
      <c r="D46" s="9" t="n">
        <v>27</v>
      </c>
      <c r="E46" s="14" t="n">
        <v>452.76</v>
      </c>
      <c r="F46" s="14" t="n">
        <v>481.61</v>
      </c>
      <c r="G46" s="14" t="n">
        <v>516.71</v>
      </c>
      <c r="H46" s="15" t="n">
        <v>-1.6</v>
      </c>
      <c r="I46" s="9" t="n">
        <v>0</v>
      </c>
      <c r="J46" s="9" t="inlineStr">
        <is>
          <t>OK</t>
        </is>
      </c>
    </row>
    <row r="47">
      <c r="A47" s="7" t="inlineStr">
        <is>
          <t>2026-05-26</t>
        </is>
      </c>
      <c r="B47" s="7" t="inlineStr">
        <is>
          <t>42151</t>
        </is>
      </c>
      <c r="C47" s="7" t="inlineStr">
        <is>
          <t>Bugatti Bolide</t>
        </is>
      </c>
      <c r="D47" s="7" t="n">
        <v>20</v>
      </c>
      <c r="E47" s="12" t="n">
        <v>615.73</v>
      </c>
      <c r="F47" s="12" t="n">
        <v>623.79</v>
      </c>
      <c r="G47" s="12" t="n">
        <v>665.34</v>
      </c>
      <c r="H47" s="13" t="n">
        <v>0.9</v>
      </c>
      <c r="I47" s="7" t="n">
        <v>0</v>
      </c>
      <c r="J47" s="7" t="inlineStr">
        <is>
          <t>OK</t>
        </is>
      </c>
    </row>
    <row r="48">
      <c r="A48" s="9" t="inlineStr">
        <is>
          <t>2026-05-27</t>
        </is>
      </c>
      <c r="B48" s="9" t="inlineStr">
        <is>
          <t>10311</t>
        </is>
      </c>
      <c r="C48" s="9" t="inlineStr">
        <is>
          <t>Orchidea</t>
        </is>
      </c>
      <c r="D48" s="9" t="n">
        <v>31</v>
      </c>
      <c r="E48" s="14" t="n">
        <v>179.32</v>
      </c>
      <c r="F48" s="14" t="n">
        <v>203.55</v>
      </c>
      <c r="G48" s="14" t="n">
        <v>227.58</v>
      </c>
      <c r="H48" s="15" t="n">
        <v>-3.1</v>
      </c>
      <c r="I48" s="9" t="n">
        <v>0</v>
      </c>
      <c r="J48" s="9" t="inlineStr">
        <is>
          <t>OK</t>
        </is>
      </c>
    </row>
    <row r="49">
      <c r="A49" s="7" t="inlineStr">
        <is>
          <t>2026-05-27</t>
        </is>
      </c>
      <c r="B49" s="7" t="inlineStr">
        <is>
          <t>75337</t>
        </is>
      </c>
      <c r="C49" s="7" t="inlineStr">
        <is>
          <t>AT-TE Walker</t>
        </is>
      </c>
      <c r="D49" s="7" t="n">
        <v>26</v>
      </c>
      <c r="E49" s="12" t="n">
        <v>460.87</v>
      </c>
      <c r="F49" s="12" t="n">
        <v>496.44</v>
      </c>
      <c r="G49" s="12" t="n">
        <v>529.17</v>
      </c>
      <c r="H49" s="13" t="n">
        <v>0.2</v>
      </c>
      <c r="I49" s="7" t="n">
        <v>2</v>
      </c>
      <c r="J49" s="7" t="inlineStr">
        <is>
          <t>OK</t>
        </is>
      </c>
    </row>
    <row r="50">
      <c r="A50" s="9" t="inlineStr">
        <is>
          <t>2026-05-27</t>
        </is>
      </c>
      <c r="B50" s="9" t="inlineStr">
        <is>
          <t>42151</t>
        </is>
      </c>
      <c r="C50" s="9" t="inlineStr">
        <is>
          <t>Bugatti Bolide</t>
        </is>
      </c>
      <c r="D50" s="9" t="n">
        <v>20</v>
      </c>
      <c r="E50" s="14" t="n">
        <v>626.8</v>
      </c>
      <c r="F50" s="14" t="n">
        <v>635.9</v>
      </c>
      <c r="G50" s="14" t="n">
        <v>658.97</v>
      </c>
      <c r="H50" s="16" t="n">
        <v>2.8</v>
      </c>
      <c r="I50" s="9" t="n">
        <v>0</v>
      </c>
      <c r="J50" s="9" t="inlineStr">
        <is>
          <t>OK</t>
        </is>
      </c>
    </row>
    <row r="51">
      <c r="A51" s="7" t="inlineStr">
        <is>
          <t>2026-05-28</t>
        </is>
      </c>
      <c r="B51" s="7" t="inlineStr">
        <is>
          <t>10311</t>
        </is>
      </c>
      <c r="C51" s="7" t="inlineStr">
        <is>
          <t>Orchidea</t>
        </is>
      </c>
      <c r="D51" s="7" t="n">
        <v>40</v>
      </c>
      <c r="E51" s="12" t="n">
        <v>206.11</v>
      </c>
      <c r="F51" s="12" t="n">
        <v>239.96</v>
      </c>
      <c r="G51" s="12" t="n">
        <v>292.41</v>
      </c>
      <c r="H51" s="13" t="n">
        <v>11.4</v>
      </c>
      <c r="I51" s="7" t="n">
        <v>0</v>
      </c>
      <c r="J51" s="7" t="inlineStr">
        <is>
          <t>OK</t>
        </is>
      </c>
    </row>
    <row r="52">
      <c r="A52" s="9" t="inlineStr">
        <is>
          <t>2026-05-28</t>
        </is>
      </c>
      <c r="B52" s="9" t="inlineStr">
        <is>
          <t>75337</t>
        </is>
      </c>
      <c r="C52" s="9" t="inlineStr">
        <is>
          <t>AT-TE Walker</t>
        </is>
      </c>
      <c r="D52" s="9" t="n">
        <v>16</v>
      </c>
      <c r="E52" s="14" t="n">
        <v>476.67</v>
      </c>
      <c r="F52" s="14" t="n">
        <v>503.59</v>
      </c>
      <c r="G52" s="14" t="n">
        <v>534.33</v>
      </c>
      <c r="H52" s="16" t="n">
        <v>3.6</v>
      </c>
      <c r="I52" s="9" t="n">
        <v>5</v>
      </c>
      <c r="J52" s="9" t="inlineStr">
        <is>
          <t>OK</t>
        </is>
      </c>
    </row>
    <row r="53">
      <c r="A53" s="7" t="inlineStr">
        <is>
          <t>2026-05-28</t>
        </is>
      </c>
      <c r="B53" s="7" t="inlineStr">
        <is>
          <t>42151</t>
        </is>
      </c>
      <c r="C53" s="7" t="inlineStr">
        <is>
          <t>Bugatti Bolide</t>
        </is>
      </c>
      <c r="D53" s="7" t="n">
        <v>18</v>
      </c>
      <c r="E53" s="12" t="n">
        <v>601.76</v>
      </c>
      <c r="F53" s="12" t="n">
        <v>640.6</v>
      </c>
      <c r="G53" s="12" t="n">
        <v>674</v>
      </c>
      <c r="H53" s="17" t="n">
        <v>-1.4</v>
      </c>
      <c r="I53" s="7" t="n">
        <v>5</v>
      </c>
      <c r="J53" s="7" t="inlineStr">
        <is>
          <t>OK</t>
        </is>
      </c>
    </row>
    <row r="54">
      <c r="A54" s="9" t="inlineStr">
        <is>
          <t>2026-05-29</t>
        </is>
      </c>
      <c r="B54" s="9" t="inlineStr">
        <is>
          <t>10311</t>
        </is>
      </c>
      <c r="C54" s="9" t="inlineStr">
        <is>
          <t>Orchidea</t>
        </is>
      </c>
      <c r="D54" s="9" t="n">
        <v>42</v>
      </c>
      <c r="E54" s="14" t="n">
        <v>197.83</v>
      </c>
      <c r="F54" s="14" t="n">
        <v>220.25</v>
      </c>
      <c r="G54" s="14" t="n">
        <v>264.2</v>
      </c>
      <c r="H54" s="16" t="n">
        <v>6.9</v>
      </c>
      <c r="I54" s="9" t="n">
        <v>3</v>
      </c>
      <c r="J54" s="9" t="inlineStr">
        <is>
          <t>OK</t>
        </is>
      </c>
    </row>
    <row r="55">
      <c r="A55" s="7" t="inlineStr">
        <is>
          <t>2026-05-29</t>
        </is>
      </c>
      <c r="B55" s="7" t="inlineStr">
        <is>
          <t>75337</t>
        </is>
      </c>
      <c r="C55" s="7" t="inlineStr">
        <is>
          <t>AT-TE Walker</t>
        </is>
      </c>
      <c r="D55" s="7" t="n">
        <v>18</v>
      </c>
      <c r="E55" s="12" t="n">
        <v>453.87</v>
      </c>
      <c r="F55" s="12" t="n">
        <v>476.88</v>
      </c>
      <c r="G55" s="12" t="n">
        <v>529.77</v>
      </c>
      <c r="H55" s="17" t="n">
        <v>-1.3</v>
      </c>
      <c r="I55" s="7" t="n">
        <v>0</v>
      </c>
      <c r="J55" s="7" t="inlineStr">
        <is>
          <t>OK</t>
        </is>
      </c>
    </row>
    <row r="56">
      <c r="A56" s="9" t="inlineStr">
        <is>
          <t>2026-05-29</t>
        </is>
      </c>
      <c r="B56" s="9" t="inlineStr">
        <is>
          <t>42151</t>
        </is>
      </c>
      <c r="C56" s="9" t="inlineStr">
        <is>
          <t>Bugatti Bolide</t>
        </is>
      </c>
      <c r="D56" s="9" t="n">
        <v>8</v>
      </c>
      <c r="E56" s="14" t="n">
        <v>625.29</v>
      </c>
      <c r="F56" s="14" t="n">
        <v>652.8099999999999</v>
      </c>
      <c r="G56" s="14" t="n">
        <v>689.8099999999999</v>
      </c>
      <c r="H56" s="16" t="n">
        <v>2.5</v>
      </c>
      <c r="I56" s="9" t="n">
        <v>5</v>
      </c>
      <c r="J56" s="9" t="inlineStr">
        <is>
          <t>OK</t>
        </is>
      </c>
    </row>
    <row r="57">
      <c r="A57" s="7" t="inlineStr">
        <is>
          <t>2026-05-30</t>
        </is>
      </c>
      <c r="B57" s="7" t="inlineStr">
        <is>
          <t>10311</t>
        </is>
      </c>
      <c r="C57" s="7" t="inlineStr">
        <is>
          <t>Orchidea</t>
        </is>
      </c>
      <c r="D57" s="7" t="n">
        <v>18</v>
      </c>
      <c r="E57" s="12" t="n">
        <v>182.33</v>
      </c>
      <c r="F57" s="12" t="n">
        <v>187.45</v>
      </c>
      <c r="G57" s="12" t="n">
        <v>244.99</v>
      </c>
      <c r="H57" s="17" t="n">
        <v>-1.4</v>
      </c>
      <c r="I57" s="7" t="n">
        <v>2</v>
      </c>
      <c r="J57" s="7" t="inlineStr">
        <is>
          <t>OK</t>
        </is>
      </c>
    </row>
    <row r="58">
      <c r="A58" s="9" t="inlineStr">
        <is>
          <t>2026-05-30</t>
        </is>
      </c>
      <c r="B58" s="9" t="inlineStr">
        <is>
          <t>75337</t>
        </is>
      </c>
      <c r="C58" s="9" t="inlineStr">
        <is>
          <t>AT-TE Walker</t>
        </is>
      </c>
      <c r="D58" s="9" t="n">
        <v>40</v>
      </c>
      <c r="E58" s="14" t="n">
        <v>466.09</v>
      </c>
      <c r="F58" s="14" t="n">
        <v>479.85</v>
      </c>
      <c r="G58" s="14" t="n">
        <v>538.37</v>
      </c>
      <c r="H58" s="16" t="n">
        <v>1.3</v>
      </c>
      <c r="I58" s="9" t="n">
        <v>1</v>
      </c>
      <c r="J58" s="9" t="inlineStr">
        <is>
          <t>OK</t>
        </is>
      </c>
    </row>
    <row r="59">
      <c r="A59" s="7" t="inlineStr">
        <is>
          <t>2026-05-30</t>
        </is>
      </c>
      <c r="B59" s="7" t="inlineStr">
        <is>
          <t>42151</t>
        </is>
      </c>
      <c r="C59" s="7" t="inlineStr">
        <is>
          <t>Bugatti Bolide</t>
        </is>
      </c>
      <c r="D59" s="7" t="n">
        <v>11</v>
      </c>
      <c r="E59" s="12" t="n">
        <v>606.22</v>
      </c>
      <c r="F59" s="12" t="n">
        <v>644.97</v>
      </c>
      <c r="G59" s="12" t="n">
        <v>689.1</v>
      </c>
      <c r="H59" s="17" t="n">
        <v>-0.6</v>
      </c>
      <c r="I59" s="7" t="n">
        <v>3</v>
      </c>
      <c r="J59" s="7" t="inlineStr">
        <is>
          <t>OK</t>
        </is>
      </c>
    </row>
    <row r="60">
      <c r="A60" s="9" t="inlineStr">
        <is>
          <t>2026-05-31</t>
        </is>
      </c>
      <c r="B60" s="9" t="inlineStr">
        <is>
          <t>10311</t>
        </is>
      </c>
      <c r="C60" s="9" t="inlineStr">
        <is>
          <t>Orchidea</t>
        </is>
      </c>
      <c r="D60" s="9" t="n">
        <v>15</v>
      </c>
      <c r="E60" s="14" t="n">
        <v>208.51</v>
      </c>
      <c r="F60" s="14" t="n">
        <v>238.71</v>
      </c>
      <c r="G60" s="14" t="n">
        <v>282.33</v>
      </c>
      <c r="H60" s="16" t="n">
        <v>12.7</v>
      </c>
      <c r="I60" s="9" t="n">
        <v>3</v>
      </c>
      <c r="J60" s="9" t="inlineStr">
        <is>
          <t>OK</t>
        </is>
      </c>
    </row>
    <row r="61">
      <c r="A61" s="7" t="inlineStr">
        <is>
          <t>2026-05-31</t>
        </is>
      </c>
      <c r="B61" s="7" t="inlineStr">
        <is>
          <t>75337</t>
        </is>
      </c>
      <c r="C61" s="7" t="inlineStr">
        <is>
          <t>AT-TE Walker</t>
        </is>
      </c>
      <c r="D61" s="7" t="n">
        <v>10</v>
      </c>
      <c r="E61" s="12" t="n">
        <v>454.48</v>
      </c>
      <c r="F61" s="12" t="n">
        <v>470.42</v>
      </c>
      <c r="G61" s="12" t="n">
        <v>485.26</v>
      </c>
      <c r="H61" s="17" t="n">
        <v>-1.2</v>
      </c>
      <c r="I61" s="7" t="n">
        <v>0</v>
      </c>
      <c r="J61" s="7" t="inlineStr">
        <is>
          <t>OK</t>
        </is>
      </c>
    </row>
    <row r="62">
      <c r="A62" s="9" t="inlineStr">
        <is>
          <t>2026-05-31</t>
        </is>
      </c>
      <c r="B62" s="9" t="inlineStr">
        <is>
          <t>42151</t>
        </is>
      </c>
      <c r="C62" s="9" t="inlineStr">
        <is>
          <t>Bugatti Bolide</t>
        </is>
      </c>
      <c r="D62" s="9" t="n">
        <v>20</v>
      </c>
      <c r="E62" s="14" t="n">
        <v>610.45</v>
      </c>
      <c r="F62" s="14" t="n">
        <v>638.61</v>
      </c>
      <c r="G62" s="14" t="n">
        <v>660.83</v>
      </c>
      <c r="H62" s="16" t="n">
        <v>0.1</v>
      </c>
      <c r="I62" s="9" t="n">
        <v>2</v>
      </c>
      <c r="J62" s="9" t="inlineStr">
        <is>
          <t>OK</t>
        </is>
      </c>
    </row>
    <row r="63">
      <c r="A63" s="7" t="inlineStr">
        <is>
          <t>2026-06-01</t>
        </is>
      </c>
      <c r="B63" s="7" t="inlineStr">
        <is>
          <t>10311</t>
        </is>
      </c>
      <c r="C63" s="7" t="inlineStr">
        <is>
          <t>Orchidea</t>
        </is>
      </c>
      <c r="D63" s="7" t="n">
        <v>25</v>
      </c>
      <c r="E63" s="12" t="n">
        <v>192.24</v>
      </c>
      <c r="F63" s="12" t="n">
        <v>218.82</v>
      </c>
      <c r="G63" s="12" t="n">
        <v>243.98</v>
      </c>
      <c r="H63" s="13" t="n">
        <v>3.9</v>
      </c>
      <c r="I63" s="7" t="n">
        <v>2</v>
      </c>
      <c r="J63" s="7" t="inlineStr">
        <is>
          <t>OK</t>
        </is>
      </c>
    </row>
    <row r="64">
      <c r="A64" s="9" t="inlineStr">
        <is>
          <t>2026-06-01</t>
        </is>
      </c>
      <c r="B64" s="9" t="inlineStr">
        <is>
          <t>75337</t>
        </is>
      </c>
      <c r="C64" s="9" t="inlineStr">
        <is>
          <t>AT-TE Walker</t>
        </is>
      </c>
      <c r="D64" s="9" t="n">
        <v>16</v>
      </c>
      <c r="E64" s="14" t="n">
        <v>464.74</v>
      </c>
      <c r="F64" s="14" t="n">
        <v>475.34</v>
      </c>
      <c r="G64" s="14" t="n">
        <v>498.85</v>
      </c>
      <c r="H64" s="16" t="n">
        <v>1</v>
      </c>
      <c r="I64" s="9" t="n">
        <v>2</v>
      </c>
      <c r="J64" s="9" t="inlineStr">
        <is>
          <t>OK</t>
        </is>
      </c>
    </row>
    <row r="65">
      <c r="A65" s="7" t="inlineStr">
        <is>
          <t>2026-06-01</t>
        </is>
      </c>
      <c r="B65" s="7" t="inlineStr">
        <is>
          <t>42151</t>
        </is>
      </c>
      <c r="C65" s="7" t="inlineStr">
        <is>
          <t>Bugatti Bolide</t>
        </is>
      </c>
      <c r="D65" s="7" t="n">
        <v>17</v>
      </c>
      <c r="E65" s="12" t="n">
        <v>605.51</v>
      </c>
      <c r="F65" s="12" t="n">
        <v>633.38</v>
      </c>
      <c r="G65" s="12" t="n">
        <v>643.8099999999999</v>
      </c>
      <c r="H65" s="17" t="n">
        <v>-0.7</v>
      </c>
      <c r="I65" s="7" t="n">
        <v>3</v>
      </c>
      <c r="J65" s="7" t="inlineStr">
        <is>
          <t>OK</t>
        </is>
      </c>
    </row>
    <row r="66">
      <c r="A66" s="9" t="inlineStr">
        <is>
          <t>2026-06-02</t>
        </is>
      </c>
      <c r="B66" s="9" t="inlineStr">
        <is>
          <t>10311</t>
        </is>
      </c>
      <c r="C66" s="9" t="inlineStr">
        <is>
          <t>Orchidea</t>
        </is>
      </c>
      <c r="D66" s="9" t="n">
        <v>15</v>
      </c>
      <c r="E66" s="14" t="n">
        <v>195.43</v>
      </c>
      <c r="F66" s="14" t="n">
        <v>229.39</v>
      </c>
      <c r="G66" s="14" t="n">
        <v>253.66</v>
      </c>
      <c r="H66" s="16" t="n">
        <v>5.6</v>
      </c>
      <c r="I66" s="9" t="n">
        <v>3</v>
      </c>
      <c r="J66" s="9" t="inlineStr">
        <is>
          <t>OK</t>
        </is>
      </c>
    </row>
    <row r="67">
      <c r="A67" s="7" t="inlineStr">
        <is>
          <t>2026-06-02</t>
        </is>
      </c>
      <c r="B67" s="7" t="inlineStr">
        <is>
          <t>75337</t>
        </is>
      </c>
      <c r="C67" s="7" t="inlineStr">
        <is>
          <t>AT-TE Walker</t>
        </is>
      </c>
      <c r="D67" s="7" t="n">
        <v>29</v>
      </c>
      <c r="E67" s="12" t="n">
        <v>470.13</v>
      </c>
      <c r="F67" s="12" t="n">
        <v>477.96</v>
      </c>
      <c r="G67" s="12" t="n">
        <v>510.43</v>
      </c>
      <c r="H67" s="13" t="n">
        <v>2.2</v>
      </c>
      <c r="I67" s="7" t="n">
        <v>0</v>
      </c>
      <c r="J67" s="7" t="inlineStr">
        <is>
          <t>OK</t>
        </is>
      </c>
    </row>
    <row r="68">
      <c r="A68" s="9" t="inlineStr">
        <is>
          <t>2026-06-02</t>
        </is>
      </c>
      <c r="B68" s="9" t="inlineStr">
        <is>
          <t>42151</t>
        </is>
      </c>
      <c r="C68" s="9" t="inlineStr">
        <is>
          <t>Bugatti Bolide</t>
        </is>
      </c>
      <c r="D68" s="9" t="n">
        <v>43</v>
      </c>
      <c r="E68" s="14" t="n">
        <v>601.35</v>
      </c>
      <c r="F68" s="14" t="n">
        <v>610.88</v>
      </c>
      <c r="G68" s="14" t="n">
        <v>632.1799999999999</v>
      </c>
      <c r="H68" s="15" t="n">
        <v>-1.4</v>
      </c>
      <c r="I68" s="9" t="n">
        <v>0</v>
      </c>
      <c r="J68" s="9" t="inlineStr">
        <is>
          <t>OK</t>
        </is>
      </c>
    </row>
    <row r="69">
      <c r="A69" s="7" t="inlineStr">
        <is>
          <t>2026-06-03</t>
        </is>
      </c>
      <c r="B69" s="7" t="inlineStr">
        <is>
          <t>10311</t>
        </is>
      </c>
      <c r="C69" s="7" t="inlineStr">
        <is>
          <t>Orchidea</t>
        </is>
      </c>
      <c r="D69" s="7" t="n">
        <v>25</v>
      </c>
      <c r="E69" s="12" t="n">
        <v>188.81</v>
      </c>
      <c r="F69" s="12" t="n">
        <v>220.76</v>
      </c>
      <c r="G69" s="12" t="n">
        <v>239.13</v>
      </c>
      <c r="H69" s="13" t="n">
        <v>2.1</v>
      </c>
      <c r="I69" s="7" t="n">
        <v>2</v>
      </c>
      <c r="J69" s="7" t="inlineStr">
        <is>
          <t>OK</t>
        </is>
      </c>
    </row>
    <row r="70">
      <c r="A70" s="9" t="inlineStr">
        <is>
          <t>2026-06-03</t>
        </is>
      </c>
      <c r="B70" s="9" t="inlineStr">
        <is>
          <t>75337</t>
        </is>
      </c>
      <c r="C70" s="9" t="inlineStr">
        <is>
          <t>AT-TE Walker</t>
        </is>
      </c>
      <c r="D70" s="9" t="n">
        <v>35</v>
      </c>
      <c r="E70" s="14" t="n">
        <v>481.2</v>
      </c>
      <c r="F70" s="14" t="n">
        <v>518.7</v>
      </c>
      <c r="G70" s="14" t="n">
        <v>563.61</v>
      </c>
      <c r="H70" s="16" t="n">
        <v>4.6</v>
      </c>
      <c r="I70" s="9" t="n">
        <v>1</v>
      </c>
      <c r="J70" s="9" t="inlineStr">
        <is>
          <t>OK</t>
        </is>
      </c>
    </row>
    <row r="71">
      <c r="A71" s="7" t="inlineStr">
        <is>
          <t>2026-06-03</t>
        </is>
      </c>
      <c r="B71" s="7" t="inlineStr">
        <is>
          <t>42151</t>
        </is>
      </c>
      <c r="C71" s="7" t="inlineStr">
        <is>
          <t>Bugatti Bolide</t>
        </is>
      </c>
      <c r="D71" s="7" t="n">
        <v>33</v>
      </c>
      <c r="E71" s="12" t="n">
        <v>630.35</v>
      </c>
      <c r="F71" s="12" t="n">
        <v>661.6</v>
      </c>
      <c r="G71" s="12" t="n">
        <v>705.39</v>
      </c>
      <c r="H71" s="13" t="n">
        <v>3.3</v>
      </c>
      <c r="I71" s="7" t="n">
        <v>1</v>
      </c>
      <c r="J71" s="7" t="inlineStr">
        <is>
          <t>OK</t>
        </is>
      </c>
    </row>
    <row r="72">
      <c r="A72" s="9" t="inlineStr">
        <is>
          <t>2026-06-04</t>
        </is>
      </c>
      <c r="B72" s="9" t="inlineStr">
        <is>
          <t>10311</t>
        </is>
      </c>
      <c r="C72" s="9" t="inlineStr">
        <is>
          <t>Orchidea</t>
        </is>
      </c>
      <c r="D72" s="9" t="n">
        <v>43</v>
      </c>
      <c r="E72" s="14" t="n">
        <v>199.16</v>
      </c>
      <c r="F72" s="14" t="n">
        <v>220.45</v>
      </c>
      <c r="G72" s="14" t="n">
        <v>276.14</v>
      </c>
      <c r="H72" s="16" t="n">
        <v>7.7</v>
      </c>
      <c r="I72" s="9" t="n">
        <v>1</v>
      </c>
      <c r="J72" s="9" t="inlineStr">
        <is>
          <t>OK</t>
        </is>
      </c>
    </row>
    <row r="73">
      <c r="A73" s="7" t="inlineStr">
        <is>
          <t>2026-06-04</t>
        </is>
      </c>
      <c r="B73" s="7" t="inlineStr">
        <is>
          <t>75337</t>
        </is>
      </c>
      <c r="C73" s="7" t="inlineStr">
        <is>
          <t>AT-TE Walker</t>
        </is>
      </c>
      <c r="D73" s="7" t="n">
        <v>38</v>
      </c>
      <c r="E73" s="12" t="n">
        <v>467.96</v>
      </c>
      <c r="F73" s="12" t="n">
        <v>491.64</v>
      </c>
      <c r="G73" s="12" t="n">
        <v>535.14</v>
      </c>
      <c r="H73" s="13" t="n">
        <v>1.7</v>
      </c>
      <c r="I73" s="7" t="n">
        <v>5</v>
      </c>
      <c r="J73" s="7" t="inlineStr">
        <is>
          <t>OK</t>
        </is>
      </c>
    </row>
    <row r="74">
      <c r="A74" s="9" t="inlineStr">
        <is>
          <t>2026-06-04</t>
        </is>
      </c>
      <c r="B74" s="9" t="inlineStr">
        <is>
          <t>42151</t>
        </is>
      </c>
      <c r="C74" s="9" t="inlineStr">
        <is>
          <t>Bugatti Bolide</t>
        </is>
      </c>
      <c r="D74" s="9" t="n">
        <v>30</v>
      </c>
      <c r="E74" s="14" t="n">
        <v>618.67</v>
      </c>
      <c r="F74" s="14" t="n">
        <v>625.0599999999999</v>
      </c>
      <c r="G74" s="14" t="n">
        <v>672.01</v>
      </c>
      <c r="H74" s="16" t="n">
        <v>1.4</v>
      </c>
      <c r="I74" s="9" t="n">
        <v>5</v>
      </c>
      <c r="J74" s="9" t="inlineStr">
        <is>
          <t>OK</t>
        </is>
      </c>
    </row>
    <row r="75">
      <c r="A75" s="7" t="inlineStr">
        <is>
          <t>2026-06-05</t>
        </is>
      </c>
      <c r="B75" s="7" t="inlineStr">
        <is>
          <t>10311</t>
        </is>
      </c>
      <c r="C75" s="7" t="inlineStr">
        <is>
          <t>Orchidea</t>
        </is>
      </c>
      <c r="D75" s="7" t="n">
        <v>34</v>
      </c>
      <c r="E75" s="12" t="n">
        <v>193.39</v>
      </c>
      <c r="F75" s="12" t="n">
        <v>205.37</v>
      </c>
      <c r="G75" s="12" t="n">
        <v>222.32</v>
      </c>
      <c r="H75" s="13" t="n">
        <v>4.5</v>
      </c>
      <c r="I75" s="7" t="n">
        <v>4</v>
      </c>
      <c r="J75" s="7" t="inlineStr">
        <is>
          <t>OK</t>
        </is>
      </c>
    </row>
    <row r="76">
      <c r="A76" s="9" t="inlineStr">
        <is>
          <t>2026-06-05</t>
        </is>
      </c>
      <c r="B76" s="9" t="inlineStr">
        <is>
          <t>75337</t>
        </is>
      </c>
      <c r="C76" s="9" t="inlineStr">
        <is>
          <t>AT-TE Walker</t>
        </is>
      </c>
      <c r="D76" s="9" t="n">
        <v>31</v>
      </c>
      <c r="E76" s="14" t="n">
        <v>455.56</v>
      </c>
      <c r="F76" s="14" t="n">
        <v>481.27</v>
      </c>
      <c r="G76" s="14" t="n">
        <v>526.1900000000001</v>
      </c>
      <c r="H76" s="15" t="n">
        <v>-1</v>
      </c>
      <c r="I76" s="9" t="n">
        <v>2</v>
      </c>
      <c r="J76" s="9" t="inlineStr">
        <is>
          <t>OK</t>
        </is>
      </c>
    </row>
    <row r="77">
      <c r="A77" s="7" t="inlineStr">
        <is>
          <t>2026-06-05</t>
        </is>
      </c>
      <c r="B77" s="7" t="inlineStr">
        <is>
          <t>42151</t>
        </is>
      </c>
      <c r="C77" s="7" t="inlineStr">
        <is>
          <t>Bugatti Bolide</t>
        </is>
      </c>
      <c r="D77" s="7" t="n">
        <v>42</v>
      </c>
      <c r="E77" s="12" t="n">
        <v>600.6</v>
      </c>
      <c r="F77" s="12" t="n">
        <v>635.34</v>
      </c>
      <c r="G77" s="12" t="n">
        <v>673</v>
      </c>
      <c r="H77" s="17" t="n">
        <v>-1.5</v>
      </c>
      <c r="I77" s="7" t="n">
        <v>5</v>
      </c>
      <c r="J77" s="7" t="inlineStr">
        <is>
          <t>OK</t>
        </is>
      </c>
    </row>
    <row r="78">
      <c r="A78" s="9" t="inlineStr">
        <is>
          <t>2026-06-06</t>
        </is>
      </c>
      <c r="B78" s="9" t="inlineStr">
        <is>
          <t>10311</t>
        </is>
      </c>
      <c r="C78" s="9" t="inlineStr">
        <is>
          <t>Orchidea</t>
        </is>
      </c>
      <c r="D78" s="9" t="n">
        <v>25</v>
      </c>
      <c r="E78" s="14" t="n">
        <v>179.27</v>
      </c>
      <c r="F78" s="14" t="n">
        <v>194.39</v>
      </c>
      <c r="G78" s="14" t="n">
        <v>208.33</v>
      </c>
      <c r="H78" s="15" t="n">
        <v>-3.1</v>
      </c>
      <c r="I78" s="9" t="n">
        <v>1</v>
      </c>
      <c r="J78" s="9" t="inlineStr">
        <is>
          <t>OK</t>
        </is>
      </c>
    </row>
    <row r="79">
      <c r="A79" s="7" t="inlineStr">
        <is>
          <t>2026-06-06</t>
        </is>
      </c>
      <c r="B79" s="7" t="inlineStr">
        <is>
          <t>75337</t>
        </is>
      </c>
      <c r="C79" s="7" t="inlineStr">
        <is>
          <t>AT-TE Walker</t>
        </is>
      </c>
      <c r="D79" s="7" t="n">
        <v>17</v>
      </c>
      <c r="E79" s="12" t="n">
        <v>475.15</v>
      </c>
      <c r="F79" s="12" t="n">
        <v>486.61</v>
      </c>
      <c r="G79" s="12" t="n">
        <v>535.17</v>
      </c>
      <c r="H79" s="13" t="n">
        <v>3.3</v>
      </c>
      <c r="I79" s="7" t="n">
        <v>2</v>
      </c>
      <c r="J79" s="7" t="inlineStr">
        <is>
          <t>OK</t>
        </is>
      </c>
    </row>
    <row r="80">
      <c r="A80" s="9" t="inlineStr">
        <is>
          <t>2026-06-06</t>
        </is>
      </c>
      <c r="B80" s="9" t="inlineStr">
        <is>
          <t>42151</t>
        </is>
      </c>
      <c r="C80" s="9" t="inlineStr">
        <is>
          <t>Bugatti Bolide</t>
        </is>
      </c>
      <c r="D80" s="9" t="n">
        <v>43</v>
      </c>
      <c r="E80" s="14" t="n">
        <v>634.5700000000001</v>
      </c>
      <c r="F80" s="14" t="n">
        <v>654.05</v>
      </c>
      <c r="G80" s="14" t="n">
        <v>673.4400000000001</v>
      </c>
      <c r="H80" s="16" t="n">
        <v>4</v>
      </c>
      <c r="I80" s="9" t="n">
        <v>3</v>
      </c>
      <c r="J80" s="9" t="inlineStr">
        <is>
          <t>OK</t>
        </is>
      </c>
    </row>
    <row r="81">
      <c r="A81" s="7" t="inlineStr">
        <is>
          <t>2026-06-07</t>
        </is>
      </c>
      <c r="B81" s="7" t="inlineStr">
        <is>
          <t>10311</t>
        </is>
      </c>
      <c r="C81" s="7" t="inlineStr">
        <is>
          <t>Orchidea</t>
        </is>
      </c>
      <c r="D81" s="7" t="n">
        <v>43</v>
      </c>
      <c r="E81" s="12" t="n">
        <v>180.45</v>
      </c>
      <c r="F81" s="12" t="n">
        <v>197.62</v>
      </c>
      <c r="G81" s="12" t="n">
        <v>228.95</v>
      </c>
      <c r="H81" s="17" t="n">
        <v>-2.5</v>
      </c>
      <c r="I81" s="7" t="n">
        <v>4</v>
      </c>
      <c r="J81" s="7" t="inlineStr">
        <is>
          <t>OK</t>
        </is>
      </c>
    </row>
    <row r="82">
      <c r="A82" s="9" t="inlineStr">
        <is>
          <t>2026-06-07</t>
        </is>
      </c>
      <c r="B82" s="9" t="inlineStr">
        <is>
          <t>75337</t>
        </is>
      </c>
      <c r="C82" s="9" t="inlineStr">
        <is>
          <t>AT-TE Walker</t>
        </is>
      </c>
      <c r="D82" s="9" t="n">
        <v>14</v>
      </c>
      <c r="E82" s="14" t="n">
        <v>466.13</v>
      </c>
      <c r="F82" s="14" t="n">
        <v>490.63</v>
      </c>
      <c r="G82" s="14" t="n">
        <v>506.08</v>
      </c>
      <c r="H82" s="16" t="n">
        <v>1.3</v>
      </c>
      <c r="I82" s="9" t="n">
        <v>4</v>
      </c>
      <c r="J82" s="9" t="inlineStr">
        <is>
          <t>OK</t>
        </is>
      </c>
    </row>
    <row r="83">
      <c r="A83" s="7" t="inlineStr">
        <is>
          <t>2026-06-07</t>
        </is>
      </c>
      <c r="B83" s="7" t="inlineStr">
        <is>
          <t>42151</t>
        </is>
      </c>
      <c r="C83" s="7" t="inlineStr">
        <is>
          <t>Bugatti Bolide</t>
        </is>
      </c>
      <c r="D83" s="7" t="n">
        <v>13</v>
      </c>
      <c r="E83" s="12" t="n">
        <v>606.1799999999999</v>
      </c>
      <c r="F83" s="12" t="n">
        <v>632.8</v>
      </c>
      <c r="G83" s="12" t="n">
        <v>671.9400000000001</v>
      </c>
      <c r="H83" s="17" t="n">
        <v>-0.6</v>
      </c>
      <c r="I83" s="7" t="n">
        <v>0</v>
      </c>
      <c r="J83" s="7" t="inlineStr">
        <is>
          <t>OK</t>
        </is>
      </c>
    </row>
    <row r="84">
      <c r="A84" s="9" t="inlineStr">
        <is>
          <t>2026-06-08</t>
        </is>
      </c>
      <c r="B84" s="9" t="inlineStr">
        <is>
          <t>10311</t>
        </is>
      </c>
      <c r="C84" s="9" t="inlineStr">
        <is>
          <t>Orchidea</t>
        </is>
      </c>
      <c r="D84" s="9" t="n">
        <v>19</v>
      </c>
      <c r="E84" s="14" t="n">
        <v>195.06</v>
      </c>
      <c r="F84" s="14" t="n">
        <v>208.53</v>
      </c>
      <c r="G84" s="14" t="n">
        <v>235.38</v>
      </c>
      <c r="H84" s="16" t="n">
        <v>5.4</v>
      </c>
      <c r="I84" s="9" t="n">
        <v>3</v>
      </c>
      <c r="J84" s="9" t="inlineStr">
        <is>
          <t>OK</t>
        </is>
      </c>
    </row>
    <row r="85">
      <c r="A85" s="7" t="inlineStr">
        <is>
          <t>2026-06-08</t>
        </is>
      </c>
      <c r="B85" s="7" t="inlineStr">
        <is>
          <t>75337</t>
        </is>
      </c>
      <c r="C85" s="7" t="inlineStr">
        <is>
          <t>AT-TE Walker</t>
        </is>
      </c>
      <c r="D85" s="7" t="n">
        <v>31</v>
      </c>
      <c r="E85" s="12" t="n">
        <v>465.14</v>
      </c>
      <c r="F85" s="12" t="n">
        <v>483.19</v>
      </c>
      <c r="G85" s="12" t="n">
        <v>495.46</v>
      </c>
      <c r="H85" s="13" t="n">
        <v>1.1</v>
      </c>
      <c r="I85" s="7" t="n">
        <v>3</v>
      </c>
      <c r="J85" s="7" t="inlineStr">
        <is>
          <t>OK</t>
        </is>
      </c>
    </row>
    <row r="86">
      <c r="A86" s="9" t="inlineStr">
        <is>
          <t>2026-06-08</t>
        </is>
      </c>
      <c r="B86" s="9" t="inlineStr">
        <is>
          <t>42151</t>
        </is>
      </c>
      <c r="C86" s="9" t="inlineStr">
        <is>
          <t>Bugatti Bolide</t>
        </is>
      </c>
      <c r="D86" s="9" t="n">
        <v>32</v>
      </c>
      <c r="E86" s="14" t="n">
        <v>607.21</v>
      </c>
      <c r="F86" s="14" t="n">
        <v>633.85</v>
      </c>
      <c r="G86" s="14" t="n">
        <v>644.3</v>
      </c>
      <c r="H86" s="15" t="n">
        <v>-0.5</v>
      </c>
      <c r="I86" s="9" t="n">
        <v>0</v>
      </c>
      <c r="J86" s="9" t="inlineStr">
        <is>
          <t>OK</t>
        </is>
      </c>
    </row>
    <row r="87">
      <c r="A87" s="7" t="inlineStr">
        <is>
          <t>2026-06-09</t>
        </is>
      </c>
      <c r="B87" s="7" t="inlineStr">
        <is>
          <t>10311</t>
        </is>
      </c>
      <c r="C87" s="7" t="inlineStr">
        <is>
          <t>Orchidea</t>
        </is>
      </c>
      <c r="D87" s="7" t="n">
        <v>11</v>
      </c>
      <c r="E87" s="12" t="n">
        <v>193.29</v>
      </c>
      <c r="F87" s="12" t="n">
        <v>225.6</v>
      </c>
      <c r="G87" s="12" t="n">
        <v>271.6</v>
      </c>
      <c r="H87" s="13" t="n">
        <v>4.5</v>
      </c>
      <c r="I87" s="7" t="n">
        <v>0</v>
      </c>
      <c r="J87" s="7" t="inlineStr">
        <is>
          <t>OK</t>
        </is>
      </c>
    </row>
    <row r="88">
      <c r="A88" s="9" t="inlineStr">
        <is>
          <t>2026-06-09</t>
        </is>
      </c>
      <c r="B88" s="9" t="inlineStr">
        <is>
          <t>75337</t>
        </is>
      </c>
      <c r="C88" s="9" t="inlineStr">
        <is>
          <t>AT-TE Walker</t>
        </is>
      </c>
      <c r="D88" s="9" t="n">
        <v>26</v>
      </c>
      <c r="E88" s="14" t="n">
        <v>478.24</v>
      </c>
      <c r="F88" s="14" t="n">
        <v>485.85</v>
      </c>
      <c r="G88" s="14" t="n">
        <v>514.03</v>
      </c>
      <c r="H88" s="16" t="n">
        <v>4</v>
      </c>
      <c r="I88" s="9" t="n">
        <v>0</v>
      </c>
      <c r="J88" s="9" t="inlineStr">
        <is>
          <t>OK</t>
        </is>
      </c>
    </row>
    <row r="89">
      <c r="A89" s="7" t="inlineStr">
        <is>
          <t>2026-06-09</t>
        </is>
      </c>
      <c r="B89" s="7" t="inlineStr">
        <is>
          <t>42151</t>
        </is>
      </c>
      <c r="C89" s="7" t="inlineStr">
        <is>
          <t>Bugatti Bolide</t>
        </is>
      </c>
      <c r="D89" s="7" t="n">
        <v>32</v>
      </c>
      <c r="E89" s="12" t="n">
        <v>600.39</v>
      </c>
      <c r="F89" s="12" t="n">
        <v>605.7</v>
      </c>
      <c r="G89" s="12" t="n">
        <v>663.6799999999999</v>
      </c>
      <c r="H89" s="17" t="n">
        <v>-1.6</v>
      </c>
      <c r="I89" s="7" t="n">
        <v>4</v>
      </c>
      <c r="J89" s="7" t="inlineStr">
        <is>
          <t>OK</t>
        </is>
      </c>
    </row>
    <row r="90">
      <c r="A90" s="9" t="inlineStr">
        <is>
          <t>2026-06-10</t>
        </is>
      </c>
      <c r="B90" s="9" t="inlineStr">
        <is>
          <t>10311</t>
        </is>
      </c>
      <c r="C90" s="9" t="inlineStr">
        <is>
          <t>Orchidea</t>
        </is>
      </c>
      <c r="D90" s="9" t="n">
        <v>24</v>
      </c>
      <c r="E90" s="14" t="n">
        <v>194.33</v>
      </c>
      <c r="F90" s="14" t="n">
        <v>231.81</v>
      </c>
      <c r="G90" s="14" t="n">
        <v>243.21</v>
      </c>
      <c r="H90" s="16" t="n">
        <v>5</v>
      </c>
      <c r="I90" s="9" t="n">
        <v>3</v>
      </c>
      <c r="J90" s="9" t="inlineStr">
        <is>
          <t>OK</t>
        </is>
      </c>
    </row>
    <row r="91">
      <c r="A91" s="7" t="inlineStr">
        <is>
          <t>2026-06-10</t>
        </is>
      </c>
      <c r="B91" s="7" t="inlineStr">
        <is>
          <t>75337</t>
        </is>
      </c>
      <c r="C91" s="7" t="inlineStr">
        <is>
          <t>AT-TE Walker</t>
        </is>
      </c>
      <c r="D91" s="7" t="n">
        <v>8</v>
      </c>
      <c r="E91" s="12" t="n">
        <v>468.61</v>
      </c>
      <c r="F91" s="12" t="n">
        <v>496.67</v>
      </c>
      <c r="G91" s="12" t="n">
        <v>533.01</v>
      </c>
      <c r="H91" s="13" t="n">
        <v>1.9</v>
      </c>
      <c r="I91" s="7" t="n">
        <v>2</v>
      </c>
      <c r="J91" s="7" t="inlineStr">
        <is>
          <t>OK</t>
        </is>
      </c>
    </row>
    <row r="92">
      <c r="A92" s="9" t="inlineStr">
        <is>
          <t>2026-06-10</t>
        </is>
      </c>
      <c r="B92" s="9" t="inlineStr">
        <is>
          <t>42151</t>
        </is>
      </c>
      <c r="C92" s="9" t="inlineStr">
        <is>
          <t>Bugatti Bolide</t>
        </is>
      </c>
      <c r="D92" s="9" t="n">
        <v>9</v>
      </c>
      <c r="E92" s="14" t="n">
        <v>606.5700000000001</v>
      </c>
      <c r="F92" s="14" t="n">
        <v>634.9299999999999</v>
      </c>
      <c r="G92" s="14" t="n">
        <v>666.78</v>
      </c>
      <c r="H92" s="15" t="n">
        <v>-0.6</v>
      </c>
      <c r="I92" s="9" t="n">
        <v>4</v>
      </c>
      <c r="J92" s="9" t="inlineStr">
        <is>
          <t>OK</t>
        </is>
      </c>
    </row>
  </sheetData>
  <mergeCells count="1">
    <mergeCell ref="A1:J1"/>
  </mergeCells>
  <conditionalFormatting sqref="D3:D93">
    <cfRule type="colorScale" priority="1">
      <colorScale>
        <cfvo type="min"/>
        <cfvo type="max"/>
        <color rgb="00FCF3CF"/>
        <color rgb="00F39C1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20" customWidth="1" min="4" max="4"/>
    <col width="20" customWidth="1" min="5" max="5"/>
    <col width="18" customWidth="1" min="6" max="6"/>
    <col width="14" customWidth="1" min="7" max="7"/>
    <col width="20" customWidth="1" min="8" max="8"/>
    <col width="14" customWidth="1" min="9" max="9"/>
    <col width="14" customWidth="1" min="10" max="10"/>
    <col width="22" customWidth="1" min="11" max="11"/>
  </cols>
  <sheetData>
    <row r="1" ht="32" customHeight="1">
      <c r="A1" s="5" t="inlineStr">
        <is>
          <t>📈 PODSUMOWANIE OSTATNICH 30 DNI  —  dane z arkusza 'Dane dzienne'</t>
        </is>
      </c>
    </row>
    <row r="2" ht="28" customHeight="1">
      <c r="A2" s="6" t="inlineStr">
        <is>
          <t>Nr setu</t>
        </is>
      </c>
      <c r="B2" s="6" t="inlineStr">
        <is>
          <t>Nazwa zestawu</t>
        </is>
      </c>
      <c r="C2" s="6" t="inlineStr">
        <is>
          <t>Śr. liczba ofert/dzień</t>
        </is>
      </c>
      <c r="D2" s="6" t="inlineStr">
        <is>
          <t>Min cena (30 dni)</t>
        </is>
      </c>
      <c r="E2" s="6" t="inlineStr">
        <is>
          <t>Śr. cena (30 dni)</t>
        </is>
      </c>
      <c r="F2" s="6" t="inlineStr">
        <is>
          <t>Max cena (30 dni)</t>
        </is>
      </c>
      <c r="G2" s="6" t="inlineStr">
        <is>
          <t>Trend ceny</t>
        </is>
      </c>
      <c r="H2" s="6" t="inlineStr">
        <is>
          <t>Łączne nowe oferty</t>
        </is>
      </c>
      <c r="I2" s="6" t="inlineStr">
        <is>
          <t>Dni z danymi</t>
        </is>
      </c>
      <c r="J2" s="6" t="inlineStr">
        <is>
          <t>Zmiana ceny %</t>
        </is>
      </c>
      <c r="K2" s="6" t="inlineStr">
        <is>
          <t>Ocena</t>
        </is>
      </c>
    </row>
    <row r="3">
      <c r="A3" s="7" t="inlineStr">
        <is>
          <t>10311</t>
        </is>
      </c>
      <c r="B3" s="7" t="inlineStr">
        <is>
          <t>Orchidea</t>
        </is>
      </c>
      <c r="C3" s="12">
        <f>IFERROR(AVERAGEIF('📊 Dane dzienne'!B:B,A3,'📊 Dane dzienne'!D:D),"-")</f>
        <v/>
      </c>
      <c r="D3" s="12">
        <f>IFERROR(MINIFS('📊 Dane dzienne'!E:E,'📊 Dane dzienne'!B:B,A3),"-")</f>
        <v/>
      </c>
      <c r="E3" s="12">
        <f>IFERROR(AVERAGEIF('📊 Dane dzienne'!B:B,A3,'📊 Dane dzienne'!F:F),"-")</f>
        <v/>
      </c>
      <c r="F3" s="12">
        <f>IFERROR(MAXIFS('📊 Dane dzienne'!G:G,'📊 Dane dzienne'!B:B,A3),"-")</f>
        <v/>
      </c>
      <c r="G3" s="18">
        <f>IF(ISNUMBER(D3),IF(F3&gt;D3,"↑ Rośnie","↓ Spada"),"-")</f>
        <v/>
      </c>
      <c r="H3" s="7">
        <f>IFERROR(SUMIF('📊 Dane dzienne'!B:B,A3,'📊 Dane dzienne'!I:I),"-")</f>
        <v/>
      </c>
      <c r="I3" s="7">
        <f>IFERROR(COUNTIF('📊 Dane dzienne'!B:B,A3),0)</f>
        <v/>
      </c>
      <c r="J3" s="7">
        <f>IFERROR(ROUND((F3-D3)/D3*100,1)&amp;"%","-")</f>
        <v/>
      </c>
      <c r="K3" s="19">
        <f>IF(ISNUMBER(D3),IF(F3/D3&gt;1.1,"🔥 Wysoki potencjał",IF(F3/D3&gt;1.03,"✅ Dobry","⏳ Obserwuj")),"-")</f>
        <v/>
      </c>
    </row>
    <row r="4">
      <c r="A4" s="9" t="inlineStr">
        <is>
          <t>75337</t>
        </is>
      </c>
      <c r="B4" s="9" t="inlineStr">
        <is>
          <t>AT-TE Walker</t>
        </is>
      </c>
      <c r="C4" s="14">
        <f>IFERROR(AVERAGEIF('📊 Dane dzienne'!B:B,A4,'📊 Dane dzienne'!D:D),"-")</f>
        <v/>
      </c>
      <c r="D4" s="14">
        <f>IFERROR(MINIFS('📊 Dane dzienne'!E:E,'📊 Dane dzienne'!B:B,A4),"-")</f>
        <v/>
      </c>
      <c r="E4" s="14">
        <f>IFERROR(AVERAGEIF('📊 Dane dzienne'!B:B,A4,'📊 Dane dzienne'!F:F),"-")</f>
        <v/>
      </c>
      <c r="F4" s="14">
        <f>IFERROR(MAXIFS('📊 Dane dzienne'!G:G,'📊 Dane dzienne'!B:B,A4),"-")</f>
        <v/>
      </c>
      <c r="G4" s="20">
        <f>IF(ISNUMBER(D4),IF(F4&gt;D4,"↑ Rośnie","↓ Spada"),"-")</f>
        <v/>
      </c>
      <c r="H4" s="9">
        <f>IFERROR(SUMIF('📊 Dane dzienne'!B:B,A4,'📊 Dane dzienne'!I:I),"-")</f>
        <v/>
      </c>
      <c r="I4" s="9">
        <f>IFERROR(COUNTIF('📊 Dane dzienne'!B:B,A4),0)</f>
        <v/>
      </c>
      <c r="J4" s="9">
        <f>IFERROR(ROUND((F4-D4)/D4*100,1)&amp;"%","-")</f>
        <v/>
      </c>
      <c r="K4" s="21">
        <f>IF(ISNUMBER(D4),IF(F4/D4&gt;1.1,"🔥 Wysoki potencjał",IF(F4/D4&gt;1.03,"✅ Dobry","⏳ Obserwuj")),"-")</f>
        <v/>
      </c>
    </row>
    <row r="5">
      <c r="A5" s="7" t="inlineStr">
        <is>
          <t>42151</t>
        </is>
      </c>
      <c r="B5" s="7" t="inlineStr">
        <is>
          <t>Bugatti Bolide</t>
        </is>
      </c>
      <c r="C5" s="12">
        <f>IFERROR(AVERAGEIF('📊 Dane dzienne'!B:B,A5,'📊 Dane dzienne'!D:D),"-")</f>
        <v/>
      </c>
      <c r="D5" s="12">
        <f>IFERROR(MINIFS('📊 Dane dzienne'!E:E,'📊 Dane dzienne'!B:B,A5),"-")</f>
        <v/>
      </c>
      <c r="E5" s="12">
        <f>IFERROR(AVERAGEIF('📊 Dane dzienne'!B:B,A5,'📊 Dane dzienne'!F:F),"-")</f>
        <v/>
      </c>
      <c r="F5" s="12">
        <f>IFERROR(MAXIFS('📊 Dane dzienne'!G:G,'📊 Dane dzienne'!B:B,A5),"-")</f>
        <v/>
      </c>
      <c r="G5" s="18">
        <f>IF(ISNUMBER(D5),IF(F5&gt;D5,"↑ Rośnie","↓ Spada"),"-")</f>
        <v/>
      </c>
      <c r="H5" s="7">
        <f>IFERROR(SUMIF('📊 Dane dzienne'!B:B,A5,'📊 Dane dzienne'!I:I),"-")</f>
        <v/>
      </c>
      <c r="I5" s="7">
        <f>IFERROR(COUNTIF('📊 Dane dzienne'!B:B,A5),0)</f>
        <v/>
      </c>
      <c r="J5" s="7">
        <f>IFERROR(ROUND((F5-D5)/D5*100,1)&amp;"%","-")</f>
        <v/>
      </c>
      <c r="K5" s="19">
        <f>IF(ISNUMBER(D5),IF(F5/D5&gt;1.1,"🔥 Wysoki potencjał",IF(F5/D5&gt;1.03,"✅ Dobry","⏳ Obserwuj")),"-")</f>
        <v/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</cols>
  <sheetData>
    <row r="1" ht="32" customHeight="1">
      <c r="A1" s="5" t="inlineStr">
        <is>
          <t>📉 WYKRES TRENDU CEN  —  najniższa cena dzienna dla każdego zestawu</t>
        </is>
      </c>
    </row>
    <row r="3" ht="28" customHeight="1">
      <c r="A3" s="6" t="inlineStr">
        <is>
          <t>Data</t>
        </is>
      </c>
      <c r="B3" s="6" t="inlineStr">
        <is>
          <t>10311 – Orchidea</t>
        </is>
      </c>
      <c r="C3" s="6" t="inlineStr">
        <is>
          <t>75337 – AT-TE Walker</t>
        </is>
      </c>
      <c r="D3" s="6" t="inlineStr">
        <is>
          <t>42151 – Bugatti Bolide</t>
        </is>
      </c>
    </row>
    <row r="4">
      <c r="A4" s="9" t="inlineStr">
        <is>
          <t>2026-05-12</t>
        </is>
      </c>
      <c r="B4" s="14" t="n">
        <v>202.83</v>
      </c>
      <c r="C4" s="14" t="n">
        <v>469.04</v>
      </c>
      <c r="D4" s="14" t="n">
        <v>672.5700000000001</v>
      </c>
    </row>
    <row r="5">
      <c r="A5" s="7" t="inlineStr">
        <is>
          <t>2026-05-13</t>
        </is>
      </c>
      <c r="B5" s="12" t="n">
        <v>193.65</v>
      </c>
      <c r="C5" s="12" t="n">
        <v>507.64</v>
      </c>
      <c r="D5" s="12" t="n">
        <v>624.67</v>
      </c>
    </row>
    <row r="6">
      <c r="A6" s="9" t="inlineStr">
        <is>
          <t>2026-05-14</t>
        </is>
      </c>
      <c r="B6" s="14" t="n">
        <v>206.19</v>
      </c>
      <c r="C6" s="14" t="n">
        <v>452.55</v>
      </c>
      <c r="D6" s="14" t="n">
        <v>600.88</v>
      </c>
    </row>
    <row r="7">
      <c r="A7" s="7" t="inlineStr">
        <is>
          <t>2026-05-15</t>
        </is>
      </c>
      <c r="B7" s="12" t="n">
        <v>207.32</v>
      </c>
      <c r="C7" s="12" t="n">
        <v>504.04</v>
      </c>
      <c r="D7" s="12" t="n">
        <v>641.72</v>
      </c>
    </row>
    <row r="8">
      <c r="A8" s="9" t="inlineStr">
        <is>
          <t>2026-05-16</t>
        </is>
      </c>
      <c r="B8" s="14" t="n">
        <v>181.59</v>
      </c>
      <c r="C8" s="14" t="n">
        <v>481.34</v>
      </c>
      <c r="D8" s="14" t="n">
        <v>626.7</v>
      </c>
    </row>
    <row r="9">
      <c r="A9" s="7" t="inlineStr">
        <is>
          <t>2026-05-17</t>
        </is>
      </c>
      <c r="B9" s="12" t="n">
        <v>204.18</v>
      </c>
      <c r="C9" s="12" t="n">
        <v>494.22</v>
      </c>
      <c r="D9" s="12" t="n">
        <v>614.15</v>
      </c>
    </row>
    <row r="10">
      <c r="A10" s="9" t="inlineStr">
        <is>
          <t>2026-05-18</t>
        </is>
      </c>
      <c r="B10" s="14" t="n">
        <v>187.73</v>
      </c>
      <c r="C10" s="14" t="n">
        <v>466.88</v>
      </c>
      <c r="D10" s="14" t="n">
        <v>626.74</v>
      </c>
    </row>
    <row r="11">
      <c r="A11" s="7" t="inlineStr">
        <is>
          <t>2026-05-19</t>
        </is>
      </c>
      <c r="B11" s="12" t="n">
        <v>193.72</v>
      </c>
      <c r="C11" s="12" t="n">
        <v>509.76</v>
      </c>
      <c r="D11" s="12" t="n">
        <v>614.45</v>
      </c>
    </row>
    <row r="12">
      <c r="A12" s="9" t="inlineStr">
        <is>
          <t>2026-05-20</t>
        </is>
      </c>
      <c r="B12" s="14" t="n">
        <v>211.74</v>
      </c>
      <c r="C12" s="14" t="n">
        <v>473.18</v>
      </c>
      <c r="D12" s="14" t="n">
        <v>620.4</v>
      </c>
    </row>
    <row r="13">
      <c r="A13" s="7" t="inlineStr">
        <is>
          <t>2026-05-21</t>
        </is>
      </c>
      <c r="B13" s="12" t="n">
        <v>185.68</v>
      </c>
      <c r="C13" s="12" t="n">
        <v>480.04</v>
      </c>
      <c r="D13" s="12" t="n">
        <v>632.71</v>
      </c>
    </row>
    <row r="14">
      <c r="A14" s="9" t="inlineStr">
        <is>
          <t>2026-05-22</t>
        </is>
      </c>
      <c r="B14" s="14" t="n">
        <v>192.33</v>
      </c>
      <c r="C14" s="14" t="n">
        <v>457.61</v>
      </c>
      <c r="D14" s="14" t="n">
        <v>652.88</v>
      </c>
    </row>
    <row r="15">
      <c r="A15" s="7" t="inlineStr">
        <is>
          <t>2026-05-23</t>
        </is>
      </c>
      <c r="B15" s="12" t="n">
        <v>186.34</v>
      </c>
      <c r="C15" s="12" t="n">
        <v>451.09</v>
      </c>
      <c r="D15" s="12" t="n">
        <v>611.23</v>
      </c>
    </row>
    <row r="16">
      <c r="A16" s="9" t="inlineStr">
        <is>
          <t>2026-05-24</t>
        </is>
      </c>
      <c r="B16" s="14" t="n">
        <v>188.11</v>
      </c>
      <c r="C16" s="14" t="n">
        <v>491.22</v>
      </c>
      <c r="D16" s="14" t="n">
        <v>651.39</v>
      </c>
    </row>
    <row r="17">
      <c r="A17" s="7" t="inlineStr">
        <is>
          <t>2026-05-25</t>
        </is>
      </c>
      <c r="B17" s="12" t="n">
        <v>214.18</v>
      </c>
      <c r="C17" s="12" t="n">
        <v>480.33</v>
      </c>
      <c r="D17" s="12" t="n">
        <v>596.76</v>
      </c>
    </row>
    <row r="18">
      <c r="A18" s="9" t="inlineStr">
        <is>
          <t>2026-05-26</t>
        </is>
      </c>
      <c r="B18" s="14" t="n">
        <v>204.18</v>
      </c>
      <c r="C18" s="14" t="n">
        <v>453.55</v>
      </c>
      <c r="D18" s="14" t="n">
        <v>661.05</v>
      </c>
    </row>
    <row r="19">
      <c r="A19" s="7" t="inlineStr">
        <is>
          <t>2026-05-27</t>
        </is>
      </c>
      <c r="B19" s="12" t="n">
        <v>184.11</v>
      </c>
      <c r="C19" s="12" t="n">
        <v>459.59</v>
      </c>
      <c r="D19" s="12" t="n">
        <v>643.76</v>
      </c>
    </row>
    <row r="20">
      <c r="A20" s="9" t="inlineStr">
        <is>
          <t>2026-05-28</t>
        </is>
      </c>
      <c r="B20" s="14" t="n">
        <v>206.99</v>
      </c>
      <c r="C20" s="14" t="n">
        <v>498.42</v>
      </c>
      <c r="D20" s="14" t="n">
        <v>605.87</v>
      </c>
    </row>
    <row r="21">
      <c r="A21" s="7" t="inlineStr">
        <is>
          <t>2026-05-29</t>
        </is>
      </c>
      <c r="B21" s="12" t="n">
        <v>191.92</v>
      </c>
      <c r="C21" s="12" t="n">
        <v>458.88</v>
      </c>
      <c r="D21" s="12" t="n">
        <v>609.38</v>
      </c>
    </row>
    <row r="22">
      <c r="A22" s="9" t="inlineStr">
        <is>
          <t>2026-05-30</t>
        </is>
      </c>
      <c r="B22" s="14" t="n">
        <v>194.88</v>
      </c>
      <c r="C22" s="14" t="n">
        <v>475.93</v>
      </c>
      <c r="D22" s="14" t="n">
        <v>605.37</v>
      </c>
    </row>
    <row r="23">
      <c r="A23" s="7" t="inlineStr">
        <is>
          <t>2026-05-31</t>
        </is>
      </c>
      <c r="B23" s="12" t="n">
        <v>206.96</v>
      </c>
      <c r="C23" s="12" t="n">
        <v>507.01</v>
      </c>
      <c r="D23" s="12" t="n">
        <v>675.27</v>
      </c>
    </row>
    <row r="24">
      <c r="A24" s="9" t="inlineStr">
        <is>
          <t>2026-06-01</t>
        </is>
      </c>
      <c r="B24" s="14" t="n">
        <v>204.55</v>
      </c>
      <c r="C24" s="14" t="n">
        <v>498.3</v>
      </c>
      <c r="D24" s="14" t="n">
        <v>613.42</v>
      </c>
    </row>
    <row r="25">
      <c r="A25" s="7" t="inlineStr">
        <is>
          <t>2026-06-02</t>
        </is>
      </c>
      <c r="B25" s="12" t="n">
        <v>183.15</v>
      </c>
      <c r="C25" s="12" t="n">
        <v>463.56</v>
      </c>
      <c r="D25" s="12" t="n">
        <v>638.63</v>
      </c>
    </row>
    <row r="26">
      <c r="A26" s="9" t="inlineStr">
        <is>
          <t>2026-06-03</t>
        </is>
      </c>
      <c r="B26" s="14" t="n">
        <v>191.83</v>
      </c>
      <c r="C26" s="14" t="n">
        <v>463.91</v>
      </c>
      <c r="D26" s="14" t="n">
        <v>640.09</v>
      </c>
    </row>
    <row r="27">
      <c r="A27" s="7" t="inlineStr">
        <is>
          <t>2026-06-04</t>
        </is>
      </c>
      <c r="B27" s="12" t="n">
        <v>191.9</v>
      </c>
      <c r="C27" s="12" t="n">
        <v>460.68</v>
      </c>
      <c r="D27" s="12" t="n">
        <v>665.5599999999999</v>
      </c>
    </row>
    <row r="28">
      <c r="A28" s="9" t="inlineStr">
        <is>
          <t>2026-06-05</t>
        </is>
      </c>
      <c r="B28" s="14" t="n">
        <v>192.47</v>
      </c>
      <c r="C28" s="14" t="n">
        <v>488.62</v>
      </c>
      <c r="D28" s="14" t="n">
        <v>678.13</v>
      </c>
    </row>
    <row r="29">
      <c r="A29" s="7" t="inlineStr">
        <is>
          <t>2026-06-06</t>
        </is>
      </c>
      <c r="B29" s="12" t="n">
        <v>200.95</v>
      </c>
      <c r="C29" s="12" t="n">
        <v>486.66</v>
      </c>
      <c r="D29" s="12" t="n">
        <v>607.1799999999999</v>
      </c>
    </row>
    <row r="30">
      <c r="A30" s="9" t="inlineStr">
        <is>
          <t>2026-06-07</t>
        </is>
      </c>
      <c r="B30" s="14" t="n">
        <v>190</v>
      </c>
      <c r="C30" s="14" t="n">
        <v>467.82</v>
      </c>
      <c r="D30" s="14" t="n">
        <v>610.67</v>
      </c>
    </row>
    <row r="31">
      <c r="A31" s="7" t="inlineStr">
        <is>
          <t>2026-06-08</t>
        </is>
      </c>
      <c r="B31" s="12" t="n">
        <v>182.24</v>
      </c>
      <c r="C31" s="12" t="n">
        <v>468.08</v>
      </c>
      <c r="D31" s="12" t="n">
        <v>599.3</v>
      </c>
    </row>
    <row r="32">
      <c r="A32" s="9" t="inlineStr">
        <is>
          <t>2026-06-09</t>
        </is>
      </c>
      <c r="B32" s="14" t="n">
        <v>208.31</v>
      </c>
      <c r="C32" s="14" t="n">
        <v>473.94</v>
      </c>
      <c r="D32" s="14" t="n">
        <v>648.41</v>
      </c>
    </row>
    <row r="33">
      <c r="A33" s="7" t="inlineStr">
        <is>
          <t>2026-06-10</t>
        </is>
      </c>
      <c r="B33" s="12" t="n">
        <v>212.71</v>
      </c>
      <c r="C33" s="12" t="n">
        <v>451.35</v>
      </c>
      <c r="D33" s="12" t="n">
        <v>598.6900000000001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2026-06-10T11:01:28Z</dcterms:created>
  <dcterms:modified xmlns:dcterms="http://purl.org/dc/terms/" xmlns:xsi="http://www.w3.org/2001/XMLSchema-instance" xsi:type="dcterms:W3CDTF">2026-06-10T11:01:28Z</dcterms:modified>
</cp:coreProperties>
</file>