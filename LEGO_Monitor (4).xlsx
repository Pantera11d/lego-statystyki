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zestawow" sheetId="1" state="visible" r:id="rId1"/>
    <sheet xmlns:r="http://schemas.openxmlformats.org/officeDocument/2006/relationships" name="Dane dzienne" sheetId="2" state="visible" r:id="rId2"/>
    <sheet xmlns:r="http://schemas.openxmlformats.org/officeDocument/2006/relationships" name="Podsumowanie 30 d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zł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39C12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EF9E7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22" customWidth="1" min="3" max="3"/>
    <col width="14" customWidth="1" min="4" max="4"/>
    <col width="10" customWidth="1" min="5" max="5"/>
  </cols>
  <sheetData>
    <row r="1" ht="32" customHeight="1">
      <c r="A1" s="1" t="inlineStr">
        <is>
          <t>LISTA ŚLEDZONYCH ZESTAWÓW LEGO  –  339 zestawów wycofywanych Grudzień 2026</t>
        </is>
      </c>
    </row>
    <row r="2" ht="18" customHeight="1">
      <c r="A2" s="2" t="inlineStr">
        <is>
          <t>➤  Zmień 'TAK' na 'NIE' przy zestawach które NIE chcesz śledzić. Skrypt pobiera dane tylko dla wierszy z TAK.</t>
        </is>
      </c>
    </row>
    <row r="3" ht="28" customHeight="1">
      <c r="A3" s="3" t="inlineStr">
        <is>
          <t>Nr setu</t>
        </is>
      </c>
      <c r="B3" s="3" t="inlineStr">
        <is>
          <t>Nazwa zestawu</t>
        </is>
      </c>
      <c r="C3" s="3" t="inlineStr">
        <is>
          <t>Seria LEGO</t>
        </is>
      </c>
      <c r="D3" s="3" t="inlineStr">
        <is>
          <t>Data wycofania</t>
        </is>
      </c>
      <c r="E3" s="3" t="inlineStr">
        <is>
          <t>Aktywny?</t>
        </is>
      </c>
    </row>
    <row r="4">
      <c r="A4" s="4" t="inlineStr">
        <is>
          <t>30731</t>
        </is>
      </c>
      <c r="B4" s="5" t="inlineStr">
        <is>
          <t>Tom Nook and Flying Present (Polybag)</t>
        </is>
      </c>
      <c r="C4" s="4" t="inlineStr">
        <is>
          <t>Animal Crossing</t>
        </is>
      </c>
      <c r="D4" s="4" t="inlineStr">
        <is>
          <t>2026-12-31</t>
        </is>
      </c>
      <c r="E4" s="4" t="inlineStr">
        <is>
          <t>TAK</t>
        </is>
      </c>
    </row>
    <row r="5">
      <c r="A5" s="6" t="inlineStr">
        <is>
          <t>77053</t>
        </is>
      </c>
      <c r="B5" s="7" t="inlineStr">
        <is>
          <t>Stargazing with Celeste</t>
        </is>
      </c>
      <c r="C5" s="6" t="inlineStr">
        <is>
          <t>Animal Crossing</t>
        </is>
      </c>
      <c r="D5" s="6" t="inlineStr">
        <is>
          <t>2026-12-31</t>
        </is>
      </c>
      <c r="E5" s="6" t="inlineStr">
        <is>
          <t>TAK</t>
        </is>
      </c>
    </row>
    <row r="6">
      <c r="A6" s="4" t="inlineStr">
        <is>
          <t>77056</t>
        </is>
      </c>
      <c r="B6" s="5" t="inlineStr">
        <is>
          <t>Blathers's Museum Collection</t>
        </is>
      </c>
      <c r="C6" s="4" t="inlineStr">
        <is>
          <t>Animal Crossing</t>
        </is>
      </c>
      <c r="D6" s="4" t="inlineStr">
        <is>
          <t>2026-12-31</t>
        </is>
      </c>
      <c r="E6" s="4" t="inlineStr">
        <is>
          <t>TAK</t>
        </is>
      </c>
    </row>
    <row r="7">
      <c r="A7" s="6" t="inlineStr">
        <is>
          <t>77058</t>
        </is>
      </c>
      <c r="B7" s="7" t="inlineStr">
        <is>
          <t>Goldie's Cosy House</t>
        </is>
      </c>
      <c r="C7" s="6" t="inlineStr">
        <is>
          <t>Animal Crossing</t>
        </is>
      </c>
      <c r="D7" s="6" t="inlineStr">
        <is>
          <t>2026-12-31</t>
        </is>
      </c>
      <c r="E7" s="6" t="inlineStr">
        <is>
          <t>TAK</t>
        </is>
      </c>
    </row>
    <row r="8">
      <c r="A8" s="4" t="inlineStr">
        <is>
          <t>21060</t>
        </is>
      </c>
      <c r="B8" s="5" t="inlineStr">
        <is>
          <t>Himeji Castle</t>
        </is>
      </c>
      <c r="C8" s="4" t="inlineStr">
        <is>
          <t>Architecture</t>
        </is>
      </c>
      <c r="D8" s="4" t="inlineStr">
        <is>
          <t>2026-12-31</t>
        </is>
      </c>
      <c r="E8" s="4" t="inlineStr">
        <is>
          <t>TAK</t>
        </is>
      </c>
    </row>
    <row r="9">
      <c r="A9" s="6" t="inlineStr">
        <is>
          <t>31216</t>
        </is>
      </c>
      <c r="B9" s="7" t="inlineStr">
        <is>
          <t>Keith Haring - Dancing Figures</t>
        </is>
      </c>
      <c r="C9" s="6" t="inlineStr">
        <is>
          <t>Art</t>
        </is>
      </c>
      <c r="D9" s="6" t="inlineStr">
        <is>
          <t>2026-12-31</t>
        </is>
      </c>
      <c r="E9" s="6" t="inlineStr">
        <is>
          <t>TAK</t>
        </is>
      </c>
    </row>
    <row r="10">
      <c r="A10" s="4" t="inlineStr">
        <is>
          <t>11201</t>
        </is>
      </c>
      <c r="B10" s="5" t="inlineStr">
        <is>
          <t>Playground Fun with Bluey and Chloe</t>
        </is>
      </c>
      <c r="C10" s="4" t="inlineStr">
        <is>
          <t>Bluey</t>
        </is>
      </c>
      <c r="D10" s="4" t="inlineStr">
        <is>
          <t>2026-12-31</t>
        </is>
      </c>
      <c r="E10" s="4" t="inlineStr">
        <is>
          <t>TAK</t>
        </is>
      </c>
    </row>
    <row r="11">
      <c r="A11" s="6" t="inlineStr">
        <is>
          <t>11202</t>
        </is>
      </c>
      <c r="B11" s="7" t="inlineStr">
        <is>
          <t>Bluey's Beach &amp; Family Car Trip</t>
        </is>
      </c>
      <c r="C11" s="6" t="inlineStr">
        <is>
          <t>Bluey</t>
        </is>
      </c>
      <c r="D11" s="6" t="inlineStr">
        <is>
          <t>2026-12-31</t>
        </is>
      </c>
      <c r="E11" s="6" t="inlineStr">
        <is>
          <t>TAK</t>
        </is>
      </c>
    </row>
    <row r="12">
      <c r="A12" s="4" t="inlineStr">
        <is>
          <t>30687</t>
        </is>
      </c>
      <c r="B12" s="5" t="inlineStr">
        <is>
          <t>Bluey Tea Party (Polybag)</t>
        </is>
      </c>
      <c r="C12" s="4" t="inlineStr">
        <is>
          <t>Bluey</t>
        </is>
      </c>
      <c r="D12" s="4" t="inlineStr">
        <is>
          <t>2026-12-31</t>
        </is>
      </c>
      <c r="E12" s="4" t="inlineStr">
        <is>
          <t>TAK</t>
        </is>
      </c>
    </row>
    <row r="13">
      <c r="A13" s="6" t="inlineStr">
        <is>
          <t>10345</t>
        </is>
      </c>
      <c r="B13" s="7" t="inlineStr">
        <is>
          <t>Flower Arrangement</t>
        </is>
      </c>
      <c r="C13" s="6" t="inlineStr">
        <is>
          <t>Botanical Collection</t>
        </is>
      </c>
      <c r="D13" s="6" t="inlineStr">
        <is>
          <t>2026-12-31</t>
        </is>
      </c>
      <c r="E13" s="6" t="inlineStr">
        <is>
          <t>TAK</t>
        </is>
      </c>
    </row>
    <row r="14">
      <c r="A14" s="4" t="inlineStr">
        <is>
          <t>30701</t>
        </is>
      </c>
      <c r="B14" s="5" t="inlineStr">
        <is>
          <t>Field Flowers</t>
        </is>
      </c>
      <c r="C14" s="4" t="inlineStr">
        <is>
          <t>Botanical Collection</t>
        </is>
      </c>
      <c r="D14" s="4" t="inlineStr">
        <is>
          <t>2026-12-31</t>
        </is>
      </c>
      <c r="E14" s="4" t="inlineStr">
        <is>
          <t>TAK</t>
        </is>
      </c>
    </row>
    <row r="15">
      <c r="A15" s="6" t="inlineStr">
        <is>
          <t>40725</t>
        </is>
      </c>
      <c r="B15" s="7" t="inlineStr">
        <is>
          <t>Cherry Blossoms</t>
        </is>
      </c>
      <c r="C15" s="6" t="inlineStr">
        <is>
          <t>Botanical Collection</t>
        </is>
      </c>
      <c r="D15" s="6" t="inlineStr">
        <is>
          <t>2026-12-31</t>
        </is>
      </c>
      <c r="E15" s="6" t="inlineStr">
        <is>
          <t>TAK</t>
        </is>
      </c>
    </row>
    <row r="16">
      <c r="A16" s="4" t="inlineStr">
        <is>
          <t>40674</t>
        </is>
      </c>
      <c r="B16" s="5" t="inlineStr">
        <is>
          <t>Stitch</t>
        </is>
      </c>
      <c r="C16" s="4" t="inlineStr">
        <is>
          <t>BrickHeadz</t>
        </is>
      </c>
      <c r="D16" s="4" t="inlineStr">
        <is>
          <t>2026-12-31</t>
        </is>
      </c>
      <c r="E16" s="4" t="inlineStr">
        <is>
          <t>TAK</t>
        </is>
      </c>
    </row>
    <row r="17">
      <c r="A17" s="6" t="inlineStr">
        <is>
          <t>40749</t>
        </is>
      </c>
      <c r="B17" s="7" t="inlineStr">
        <is>
          <t>Joy, Sadness &amp; Anxiety</t>
        </is>
      </c>
      <c r="C17" s="6" t="inlineStr">
        <is>
          <t>BrickHeadz</t>
        </is>
      </c>
      <c r="D17" s="6" t="inlineStr">
        <is>
          <t>2026-12-31</t>
        </is>
      </c>
      <c r="E17" s="6" t="inlineStr">
        <is>
          <t>TAK</t>
        </is>
      </c>
    </row>
    <row r="18">
      <c r="A18" s="4" t="inlineStr">
        <is>
          <t>40752</t>
        </is>
      </c>
      <c r="B18" s="5" t="inlineStr">
        <is>
          <t>Carl, Russell, &amp; Kevin</t>
        </is>
      </c>
      <c r="C18" s="4" t="inlineStr">
        <is>
          <t>BrickHeadz</t>
        </is>
      </c>
      <c r="D18" s="4" t="inlineStr">
        <is>
          <t>2026-12-31</t>
        </is>
      </c>
      <c r="E18" s="4" t="inlineStr">
        <is>
          <t>TAK</t>
        </is>
      </c>
    </row>
    <row r="19">
      <c r="A19" s="6" t="inlineStr">
        <is>
          <t>40791</t>
        </is>
      </c>
      <c r="B19" s="7" t="inlineStr">
        <is>
          <t>The Goblet of Fire Figures</t>
        </is>
      </c>
      <c r="C19" s="6" t="inlineStr">
        <is>
          <t>BrickHeadz</t>
        </is>
      </c>
      <c r="D19" s="6" t="inlineStr">
        <is>
          <t>2026-12-31</t>
        </is>
      </c>
      <c r="E19" s="6" t="inlineStr">
        <is>
          <t>TAK</t>
        </is>
      </c>
    </row>
    <row r="20">
      <c r="A20" s="4" t="inlineStr">
        <is>
          <t>40795</t>
        </is>
      </c>
      <c r="B20" s="5" t="inlineStr">
        <is>
          <t>Luke Skywalker (Rebel Pilot)</t>
        </is>
      </c>
      <c r="C20" s="4" t="inlineStr">
        <is>
          <t>BrickHeadz</t>
        </is>
      </c>
      <c r="D20" s="4" t="inlineStr">
        <is>
          <t>2026-12-31</t>
        </is>
      </c>
      <c r="E20" s="4" t="inlineStr">
        <is>
          <t>TAK</t>
        </is>
      </c>
    </row>
    <row r="21">
      <c r="A21" s="6" t="inlineStr">
        <is>
          <t>40797</t>
        </is>
      </c>
      <c r="B21" s="7" t="inlineStr">
        <is>
          <t>Eeyore</t>
        </is>
      </c>
      <c r="C21" s="6" t="inlineStr">
        <is>
          <t>BrickHeadz</t>
        </is>
      </c>
      <c r="D21" s="6" t="inlineStr">
        <is>
          <t>2026-12-31</t>
        </is>
      </c>
      <c r="E21" s="6" t="inlineStr">
        <is>
          <t>TAK</t>
        </is>
      </c>
    </row>
    <row r="22">
      <c r="A22" s="4" t="inlineStr">
        <is>
          <t>40801</t>
        </is>
      </c>
      <c r="B22" s="5" t="inlineStr">
        <is>
          <t>Mike, Dustin, Lucas and Will</t>
        </is>
      </c>
      <c r="C22" s="4" t="inlineStr">
        <is>
          <t>BrickHeadz</t>
        </is>
      </c>
      <c r="D22" s="4" t="inlineStr">
        <is>
          <t>2026-12-31</t>
        </is>
      </c>
      <c r="E22" s="4" t="inlineStr">
        <is>
          <t>TAK</t>
        </is>
      </c>
    </row>
    <row r="23">
      <c r="A23" s="6" t="inlineStr">
        <is>
          <t>40802</t>
        </is>
      </c>
      <c r="B23" s="7" t="inlineStr">
        <is>
          <t>Luna Lovegood &amp; Thestral Figures</t>
        </is>
      </c>
      <c r="C23" s="6" t="inlineStr">
        <is>
          <t>BrickHeadz</t>
        </is>
      </c>
      <c r="D23" s="6" t="inlineStr">
        <is>
          <t>2026-12-31</t>
        </is>
      </c>
      <c r="E23" s="6" t="inlineStr">
        <is>
          <t>TAK</t>
        </is>
      </c>
    </row>
    <row r="24">
      <c r="A24" s="4" t="inlineStr">
        <is>
          <t>40803</t>
        </is>
      </c>
      <c r="B24" s="5" t="inlineStr">
        <is>
          <t>Optimus Prime Robot &amp; Vehicle</t>
        </is>
      </c>
      <c r="C24" s="4" t="inlineStr">
        <is>
          <t>BrickHeadz</t>
        </is>
      </c>
      <c r="D24" s="4" t="inlineStr">
        <is>
          <t>2026-12-31</t>
        </is>
      </c>
      <c r="E24" s="4" t="inlineStr">
        <is>
          <t>TAK</t>
        </is>
      </c>
    </row>
    <row r="25">
      <c r="A25" s="6" t="inlineStr">
        <is>
          <t>40804</t>
        </is>
      </c>
      <c r="B25" s="7" t="inlineStr">
        <is>
          <t>Bumblebee Robot &amp; Vehicle</t>
        </is>
      </c>
      <c r="C25" s="6" t="inlineStr">
        <is>
          <t>BrickHeadz</t>
        </is>
      </c>
      <c r="D25" s="6" t="inlineStr">
        <is>
          <t>2026-12-31</t>
        </is>
      </c>
      <c r="E25" s="6" t="inlineStr">
        <is>
          <t>TAK</t>
        </is>
      </c>
    </row>
    <row r="26">
      <c r="A26" s="4" t="inlineStr">
        <is>
          <t>40879</t>
        </is>
      </c>
      <c r="B26" s="5" t="inlineStr">
        <is>
          <t>Eleven, Max, Demogorgon and Holly Figures</t>
        </is>
      </c>
      <c r="C26" s="4" t="inlineStr">
        <is>
          <t>BrickHeadz</t>
        </is>
      </c>
      <c r="D26" s="4" t="inlineStr">
        <is>
          <t>2026-12-31</t>
        </is>
      </c>
      <c r="E26" s="4" t="inlineStr">
        <is>
          <t>TAK</t>
        </is>
      </c>
    </row>
    <row r="27">
      <c r="A27" s="6" t="inlineStr">
        <is>
          <t>40881</t>
        </is>
      </c>
      <c r="B27" s="7" t="inlineStr">
        <is>
          <t>Supply Llama &amp; Fishstick Figures</t>
        </is>
      </c>
      <c r="C27" s="6" t="inlineStr">
        <is>
          <t>BrickHeadz</t>
        </is>
      </c>
      <c r="D27" s="6" t="inlineStr">
        <is>
          <t>2026-12-31</t>
        </is>
      </c>
      <c r="E27" s="6" t="inlineStr">
        <is>
          <t>TAK</t>
        </is>
      </c>
    </row>
    <row r="28">
      <c r="A28" s="4" t="inlineStr">
        <is>
          <t>40884</t>
        </is>
      </c>
      <c r="B28" s="5" t="inlineStr">
        <is>
          <t>Drift &amp; Raven Figures</t>
        </is>
      </c>
      <c r="C28" s="4" t="inlineStr">
        <is>
          <t>BrickHeadz</t>
        </is>
      </c>
      <c r="D28" s="4" t="inlineStr">
        <is>
          <t>2026-12-31</t>
        </is>
      </c>
      <c r="E28" s="4" t="inlineStr">
        <is>
          <t>TAK</t>
        </is>
      </c>
    </row>
    <row r="29">
      <c r="A29" s="6" t="inlineStr">
        <is>
          <t>40924</t>
        </is>
      </c>
      <c r="B29" s="7" t="inlineStr">
        <is>
          <t>Megatron Robot &amp; Vehicle</t>
        </is>
      </c>
      <c r="C29" s="6" t="inlineStr">
        <is>
          <t>BrickHeadz</t>
        </is>
      </c>
      <c r="D29" s="6" t="inlineStr">
        <is>
          <t>2026-12-31</t>
        </is>
      </c>
      <c r="E29" s="6" t="inlineStr">
        <is>
          <t>TAK</t>
        </is>
      </c>
    </row>
    <row r="30">
      <c r="A30" s="4" t="inlineStr">
        <is>
          <t>30719</t>
        </is>
      </c>
      <c r="B30" s="5" t="inlineStr">
        <is>
          <t>Go-Kart Racer (Polybag)</t>
        </is>
      </c>
      <c r="C30" s="4" t="inlineStr">
        <is>
          <t>City</t>
        </is>
      </c>
      <c r="D30" s="4" t="inlineStr">
        <is>
          <t>2026-12-31</t>
        </is>
      </c>
      <c r="E30" s="4" t="inlineStr">
        <is>
          <t>TAK</t>
        </is>
      </c>
    </row>
    <row r="31">
      <c r="A31" s="6" t="inlineStr">
        <is>
          <t>60312</t>
        </is>
      </c>
      <c r="B31" s="7" t="inlineStr">
        <is>
          <t>Police Car</t>
        </is>
      </c>
      <c r="C31" s="6" t="inlineStr">
        <is>
          <t>City</t>
        </is>
      </c>
      <c r="D31" s="6" t="inlineStr">
        <is>
          <t>2026-12-31</t>
        </is>
      </c>
      <c r="E31" s="6" t="inlineStr">
        <is>
          <t>TAK</t>
        </is>
      </c>
    </row>
    <row r="32">
      <c r="A32" s="4" t="inlineStr">
        <is>
          <t>60316</t>
        </is>
      </c>
      <c r="B32" s="5" t="inlineStr">
        <is>
          <t>Police Station</t>
        </is>
      </c>
      <c r="C32" s="4" t="inlineStr">
        <is>
          <t>City</t>
        </is>
      </c>
      <c r="D32" s="4" t="inlineStr">
        <is>
          <t>2026-12-31</t>
        </is>
      </c>
      <c r="E32" s="4" t="inlineStr">
        <is>
          <t>TAK</t>
        </is>
      </c>
    </row>
    <row r="33">
      <c r="A33" s="6" t="inlineStr">
        <is>
          <t>60337</t>
        </is>
      </c>
      <c r="B33" s="7" t="inlineStr">
        <is>
          <t>Express Passenger Train</t>
        </is>
      </c>
      <c r="C33" s="6" t="inlineStr">
        <is>
          <t>City</t>
        </is>
      </c>
      <c r="D33" s="6" t="inlineStr">
        <is>
          <t>2026-12-31</t>
        </is>
      </c>
      <c r="E33" s="6" t="inlineStr">
        <is>
          <t>TAK</t>
        </is>
      </c>
    </row>
    <row r="34">
      <c r="A34" s="4" t="inlineStr">
        <is>
          <t>60400</t>
        </is>
      </c>
      <c r="B34" s="5" t="inlineStr">
        <is>
          <t>Go-Karts and Race Drivers</t>
        </is>
      </c>
      <c r="C34" s="4" t="inlineStr">
        <is>
          <t>City</t>
        </is>
      </c>
      <c r="D34" s="4" t="inlineStr">
        <is>
          <t>2026-12-31</t>
        </is>
      </c>
      <c r="E34" s="4" t="inlineStr">
        <is>
          <t>TAK</t>
        </is>
      </c>
    </row>
    <row r="35">
      <c r="A35" s="6" t="inlineStr">
        <is>
          <t>60402</t>
        </is>
      </c>
      <c r="B35" s="7" t="inlineStr">
        <is>
          <t>Monster Truck</t>
        </is>
      </c>
      <c r="C35" s="6" t="inlineStr">
        <is>
          <t>City</t>
        </is>
      </c>
      <c r="D35" s="6" t="inlineStr">
        <is>
          <t>2026-12-31</t>
        </is>
      </c>
      <c r="E35" s="6" t="inlineStr">
        <is>
          <t>TAK</t>
        </is>
      </c>
    </row>
    <row r="36">
      <c r="A36" s="4" t="inlineStr">
        <is>
          <t>60404</t>
        </is>
      </c>
      <c r="B36" s="5" t="inlineStr">
        <is>
          <t>Burger Van</t>
        </is>
      </c>
      <c r="C36" s="4" t="inlineStr">
        <is>
          <t>City</t>
        </is>
      </c>
      <c r="D36" s="4" t="inlineStr">
        <is>
          <t>2026-12-31</t>
        </is>
      </c>
      <c r="E36" s="4" t="inlineStr">
        <is>
          <t>TAK</t>
        </is>
      </c>
    </row>
    <row r="37">
      <c r="A37" s="6" t="inlineStr">
        <is>
          <t>60407</t>
        </is>
      </c>
      <c r="B37" s="7" t="inlineStr">
        <is>
          <t>Red Double-Decker Sightseeing Bus</t>
        </is>
      </c>
      <c r="C37" s="6" t="inlineStr">
        <is>
          <t>City</t>
        </is>
      </c>
      <c r="D37" s="6" t="inlineStr">
        <is>
          <t>2026-12-31</t>
        </is>
      </c>
      <c r="E37" s="6" t="inlineStr">
        <is>
          <t>TAK</t>
        </is>
      </c>
    </row>
    <row r="38">
      <c r="A38" s="4" t="inlineStr">
        <is>
          <t>60419</t>
        </is>
      </c>
      <c r="B38" s="5" t="inlineStr">
        <is>
          <t>Police Prison Island</t>
        </is>
      </c>
      <c r="C38" s="4" t="inlineStr">
        <is>
          <t>City</t>
        </is>
      </c>
      <c r="D38" s="4" t="inlineStr">
        <is>
          <t>2026-12-31</t>
        </is>
      </c>
      <c r="E38" s="4" t="inlineStr">
        <is>
          <t>TAK</t>
        </is>
      </c>
    </row>
    <row r="39">
      <c r="A39" s="6" t="inlineStr">
        <is>
          <t>60423</t>
        </is>
      </c>
      <c r="B39" s="7" t="inlineStr">
        <is>
          <t>Downtown Streetcat &amp; Station</t>
        </is>
      </c>
      <c r="C39" s="6" t="inlineStr">
        <is>
          <t>City</t>
        </is>
      </c>
      <c r="D39" s="6" t="inlineStr">
        <is>
          <t>2026-12-31</t>
        </is>
      </c>
      <c r="E39" s="6" t="inlineStr">
        <is>
          <t>TAK</t>
        </is>
      </c>
    </row>
    <row r="40">
      <c r="A40" s="4" t="inlineStr">
        <is>
          <t>60430</t>
        </is>
      </c>
      <c r="B40" s="5" t="inlineStr">
        <is>
          <t>Interstellar Spaceship</t>
        </is>
      </c>
      <c r="C40" s="4" t="inlineStr">
        <is>
          <t>City</t>
        </is>
      </c>
      <c r="D40" s="4" t="inlineStr">
        <is>
          <t>2026-12-31</t>
        </is>
      </c>
      <c r="E40" s="4" t="inlineStr">
        <is>
          <t>TAK</t>
        </is>
      </c>
    </row>
    <row r="41">
      <c r="A41" s="6" t="inlineStr">
        <is>
          <t>60445</t>
        </is>
      </c>
      <c r="B41" s="7" t="inlineStr">
        <is>
          <t>F1 Truck with RB20 &amp; AMR24 F1 Cars</t>
        </is>
      </c>
      <c r="C41" s="6" t="inlineStr">
        <is>
          <t>City</t>
        </is>
      </c>
      <c r="D41" s="6" t="inlineStr">
        <is>
          <t>2026-12-31</t>
        </is>
      </c>
      <c r="E41" s="6" t="inlineStr">
        <is>
          <t>TAK</t>
        </is>
      </c>
    </row>
    <row r="42">
      <c r="A42" s="4" t="inlineStr">
        <is>
          <t>60447</t>
        </is>
      </c>
      <c r="B42" s="5" t="inlineStr">
        <is>
          <t>Off-Road Mountain Truck</t>
        </is>
      </c>
      <c r="C42" s="4" t="inlineStr">
        <is>
          <t>City</t>
        </is>
      </c>
      <c r="D42" s="4" t="inlineStr">
        <is>
          <t>2026-12-31</t>
        </is>
      </c>
      <c r="E42" s="4" t="inlineStr">
        <is>
          <t>TAK</t>
        </is>
      </c>
    </row>
    <row r="43">
      <c r="A43" s="6" t="inlineStr">
        <is>
          <t>60457</t>
        </is>
      </c>
      <c r="B43" s="7" t="inlineStr">
        <is>
          <t>Custom Police Garage</t>
        </is>
      </c>
      <c r="C43" s="6" t="inlineStr">
        <is>
          <t>City</t>
        </is>
      </c>
      <c r="D43" s="6" t="inlineStr">
        <is>
          <t>2026-12-31</t>
        </is>
      </c>
      <c r="E43" s="6" t="inlineStr">
        <is>
          <t>TAK</t>
        </is>
      </c>
    </row>
    <row r="44">
      <c r="A44" s="4" t="inlineStr">
        <is>
          <t>60463</t>
        </is>
      </c>
      <c r="B44" s="5" t="inlineStr">
        <is>
          <t>Fire Engine</t>
        </is>
      </c>
      <c r="C44" s="4" t="inlineStr">
        <is>
          <t>City</t>
        </is>
      </c>
      <c r="D44" s="4" t="inlineStr">
        <is>
          <t>2026-12-31</t>
        </is>
      </c>
      <c r="E44" s="4" t="inlineStr">
        <is>
          <t>TAK</t>
        </is>
      </c>
    </row>
    <row r="45">
      <c r="A45" s="6" t="inlineStr">
        <is>
          <t>60464</t>
        </is>
      </c>
      <c r="B45" s="7" t="inlineStr">
        <is>
          <t>F1 Williams Racing &amp; Haas F1 Race Cars</t>
        </is>
      </c>
      <c r="C45" s="6" t="inlineStr">
        <is>
          <t>City</t>
        </is>
      </c>
      <c r="D45" s="6" t="inlineStr">
        <is>
          <t>2026-12-31</t>
        </is>
      </c>
      <c r="E45" s="6" t="inlineStr">
        <is>
          <t>TAK</t>
        </is>
      </c>
    </row>
    <row r="46">
      <c r="A46" s="4" t="inlineStr">
        <is>
          <t>60465</t>
        </is>
      </c>
      <c r="B46" s="5" t="inlineStr">
        <is>
          <t>Air Ambulance</t>
        </is>
      </c>
      <c r="C46" s="4" t="inlineStr">
        <is>
          <t>City</t>
        </is>
      </c>
      <c r="D46" s="4" t="inlineStr">
        <is>
          <t>2026-12-31</t>
        </is>
      </c>
      <c r="E46" s="4" t="inlineStr">
        <is>
          <t>TAK</t>
        </is>
      </c>
    </row>
    <row r="47">
      <c r="A47" s="6" t="inlineStr">
        <is>
          <t>60466</t>
        </is>
      </c>
      <c r="B47" s="7" t="inlineStr">
        <is>
          <t>Bulldozer</t>
        </is>
      </c>
      <c r="C47" s="6" t="inlineStr">
        <is>
          <t>City</t>
        </is>
      </c>
      <c r="D47" s="6" t="inlineStr">
        <is>
          <t>2026-12-31</t>
        </is>
      </c>
      <c r="E47" s="6" t="inlineStr">
        <is>
          <t>TAK</t>
        </is>
      </c>
    </row>
    <row r="48">
      <c r="A48" s="4" t="inlineStr">
        <is>
          <t>60469</t>
        </is>
      </c>
      <c r="B48" s="5" t="inlineStr">
        <is>
          <t>Central Train Station</t>
        </is>
      </c>
      <c r="C48" s="4" t="inlineStr">
        <is>
          <t>City</t>
        </is>
      </c>
      <c r="D48" s="4" t="inlineStr">
        <is>
          <t>2026-12-31</t>
        </is>
      </c>
      <c r="E48" s="4" t="inlineStr">
        <is>
          <t>TAK</t>
        </is>
      </c>
    </row>
    <row r="49">
      <c r="A49" s="6" t="inlineStr">
        <is>
          <t>60470</t>
        </is>
      </c>
      <c r="B49" s="7" t="inlineStr">
        <is>
          <t>Explorer Train</t>
        </is>
      </c>
      <c r="C49" s="6" t="inlineStr">
        <is>
          <t>City</t>
        </is>
      </c>
      <c r="D49" s="6" t="inlineStr">
        <is>
          <t>2026-12-31</t>
        </is>
      </c>
      <c r="E49" s="6" t="inlineStr">
        <is>
          <t>TAK</t>
        </is>
      </c>
    </row>
    <row r="50">
      <c r="A50" s="4" t="inlineStr">
        <is>
          <t>60471</t>
        </is>
      </c>
      <c r="B50" s="5" t="inlineStr">
        <is>
          <t>Arctic Truck</t>
        </is>
      </c>
      <c r="C50" s="4" t="inlineStr">
        <is>
          <t>City</t>
        </is>
      </c>
      <c r="D50" s="4" t="inlineStr">
        <is>
          <t>2026-12-31</t>
        </is>
      </c>
      <c r="E50" s="4" t="inlineStr">
        <is>
          <t>TAK</t>
        </is>
      </c>
    </row>
    <row r="51">
      <c r="A51" s="6" t="inlineStr">
        <is>
          <t>60482</t>
        </is>
      </c>
      <c r="B51" s="7" t="inlineStr">
        <is>
          <t>Fire Engine Rides</t>
        </is>
      </c>
      <c r="C51" s="6" t="inlineStr">
        <is>
          <t>City</t>
        </is>
      </c>
      <c r="D51" s="6" t="inlineStr">
        <is>
          <t>2026-12-31</t>
        </is>
      </c>
      <c r="E51" s="6" t="inlineStr">
        <is>
          <t>TAK</t>
        </is>
      </c>
    </row>
    <row r="52">
      <c r="A52" s="4" t="inlineStr">
        <is>
          <t>60484</t>
        </is>
      </c>
      <c r="B52" s="5" t="inlineStr">
        <is>
          <t>Gaming Car Rides</t>
        </is>
      </c>
      <c r="C52" s="4" t="inlineStr">
        <is>
          <t>City</t>
        </is>
      </c>
      <c r="D52" s="4" t="inlineStr">
        <is>
          <t>2026-12-31</t>
        </is>
      </c>
      <c r="E52" s="4" t="inlineStr">
        <is>
          <t>TAK</t>
        </is>
      </c>
    </row>
    <row r="53">
      <c r="A53" s="6" t="inlineStr">
        <is>
          <t>60489</t>
        </is>
      </c>
      <c r="B53" s="7" t="inlineStr">
        <is>
          <t>Jet vs. Car</t>
        </is>
      </c>
      <c r="C53" s="6" t="inlineStr">
        <is>
          <t>City</t>
        </is>
      </c>
      <c r="D53" s="6" t="inlineStr">
        <is>
          <t>2026-12-31</t>
        </is>
      </c>
      <c r="E53" s="6" t="inlineStr">
        <is>
          <t>TAK</t>
        </is>
      </c>
    </row>
    <row r="54">
      <c r="A54" s="4" t="inlineStr">
        <is>
          <t>60490</t>
        </is>
      </c>
      <c r="B54" s="5" t="inlineStr">
        <is>
          <t>Snowplough</t>
        </is>
      </c>
      <c r="C54" s="4" t="inlineStr">
        <is>
          <t>City</t>
        </is>
      </c>
      <c r="D54" s="4" t="inlineStr">
        <is>
          <t>2026-12-31</t>
        </is>
      </c>
      <c r="E54" s="4" t="inlineStr">
        <is>
          <t>TAK</t>
        </is>
      </c>
    </row>
    <row r="55">
      <c r="A55" s="6" t="inlineStr">
        <is>
          <t>60491</t>
        </is>
      </c>
      <c r="B55" s="7" t="inlineStr">
        <is>
          <t>Motorcycle Transporter</t>
        </is>
      </c>
      <c r="C55" s="6" t="inlineStr">
        <is>
          <t>City</t>
        </is>
      </c>
      <c r="D55" s="6" t="inlineStr">
        <is>
          <t>2026-12-31</t>
        </is>
      </c>
      <c r="E55" s="6" t="inlineStr">
        <is>
          <t>TAK</t>
        </is>
      </c>
    </row>
    <row r="56">
      <c r="A56" s="4" t="inlineStr">
        <is>
          <t>60493</t>
        </is>
      </c>
      <c r="B56" s="5" t="inlineStr">
        <is>
          <t>F1 Display Truck with Audi F1 Race Car</t>
        </is>
      </c>
      <c r="C56" s="4" t="inlineStr">
        <is>
          <t>City</t>
        </is>
      </c>
      <c r="D56" s="4" t="inlineStr">
        <is>
          <t>2026-12-31</t>
        </is>
      </c>
      <c r="E56" s="4" t="inlineStr">
        <is>
          <t>TAK</t>
        </is>
      </c>
    </row>
    <row r="57">
      <c r="A57" s="6" t="inlineStr">
        <is>
          <t>60495</t>
        </is>
      </c>
      <c r="B57" s="7" t="inlineStr">
        <is>
          <t>Recycling Truck</t>
        </is>
      </c>
      <c r="C57" s="6" t="inlineStr">
        <is>
          <t>City</t>
        </is>
      </c>
      <c r="D57" s="6" t="inlineStr">
        <is>
          <t>2026-12-31</t>
        </is>
      </c>
      <c r="E57" s="6" t="inlineStr">
        <is>
          <t>TAK</t>
        </is>
      </c>
    </row>
    <row r="58">
      <c r="A58" s="4" t="inlineStr">
        <is>
          <t>60510</t>
        </is>
      </c>
      <c r="B58" s="5" t="inlineStr">
        <is>
          <t>LEGO City Advent Calendar 2026</t>
        </is>
      </c>
      <c r="C58" s="4" t="inlineStr">
        <is>
          <t>City</t>
        </is>
      </c>
      <c r="D58" s="4" t="inlineStr">
        <is>
          <t>2026-12-31</t>
        </is>
      </c>
      <c r="E58" s="4" t="inlineStr">
        <is>
          <t>TAK</t>
        </is>
      </c>
    </row>
    <row r="59">
      <c r="A59" s="6" t="inlineStr">
        <is>
          <t>11040</t>
        </is>
      </c>
      <c r="B59" s="7" t="inlineStr">
        <is>
          <t>Magical Transparent Box</t>
        </is>
      </c>
      <c r="C59" s="6" t="inlineStr">
        <is>
          <t>Classic</t>
        </is>
      </c>
      <c r="D59" s="6" t="inlineStr">
        <is>
          <t>2026-12-31</t>
        </is>
      </c>
      <c r="E59" s="6" t="inlineStr">
        <is>
          <t>TAK</t>
        </is>
      </c>
    </row>
    <row r="60">
      <c r="A60" s="4" t="inlineStr">
        <is>
          <t>30692</t>
        </is>
      </c>
      <c r="B60" s="5" t="inlineStr">
        <is>
          <t>Christmas Chimney Fun with Santa (Polybag)</t>
        </is>
      </c>
      <c r="C60" s="4" t="inlineStr">
        <is>
          <t>Creator</t>
        </is>
      </c>
      <c r="D60" s="4" t="inlineStr">
        <is>
          <t>2026-12-31</t>
        </is>
      </c>
      <c r="E60" s="4" t="inlineStr">
        <is>
          <t>TAK</t>
        </is>
      </c>
    </row>
    <row r="61">
      <c r="A61" s="6" t="inlineStr">
        <is>
          <t>30714</t>
        </is>
      </c>
      <c r="B61" s="7" t="inlineStr">
        <is>
          <t>Orange Cat (Polybag)</t>
        </is>
      </c>
      <c r="C61" s="6" t="inlineStr">
        <is>
          <t>Creator</t>
        </is>
      </c>
      <c r="D61" s="6" t="inlineStr">
        <is>
          <t>2026-12-31</t>
        </is>
      </c>
      <c r="E61" s="6" t="inlineStr">
        <is>
          <t>TAK</t>
        </is>
      </c>
    </row>
    <row r="62">
      <c r="A62" s="4" t="inlineStr">
        <is>
          <t>30715</t>
        </is>
      </c>
      <c r="B62" s="5" t="inlineStr">
        <is>
          <t>Cute Animal Birthday Party (Polybag)</t>
        </is>
      </c>
      <c r="C62" s="4" t="inlineStr">
        <is>
          <t>Creator</t>
        </is>
      </c>
      <c r="D62" s="4" t="inlineStr">
        <is>
          <t>2026-12-31</t>
        </is>
      </c>
      <c r="E62" s="4" t="inlineStr">
        <is>
          <t>TAK</t>
        </is>
      </c>
    </row>
    <row r="63">
      <c r="A63" s="6" t="inlineStr">
        <is>
          <t>30716</t>
        </is>
      </c>
      <c r="B63" s="7" t="inlineStr">
        <is>
          <t>Cute Easter Bunny (Polybag)</t>
        </is>
      </c>
      <c r="C63" s="6" t="inlineStr">
        <is>
          <t>Creator</t>
        </is>
      </c>
      <c r="D63" s="6" t="inlineStr">
        <is>
          <t>2026-12-31</t>
        </is>
      </c>
      <c r="E63" s="6" t="inlineStr">
        <is>
          <t>TAK</t>
        </is>
      </c>
    </row>
    <row r="64">
      <c r="A64" s="4" t="inlineStr">
        <is>
          <t>31136</t>
        </is>
      </c>
      <c r="B64" s="5" t="inlineStr">
        <is>
          <t>Exotic Parrot</t>
        </is>
      </c>
      <c r="C64" s="4" t="inlineStr">
        <is>
          <t>Creator</t>
        </is>
      </c>
      <c r="D64" s="4" t="inlineStr">
        <is>
          <t>2026-12-31</t>
        </is>
      </c>
      <c r="E64" s="4" t="inlineStr">
        <is>
          <t>TAK</t>
        </is>
      </c>
    </row>
    <row r="65">
      <c r="A65" s="6" t="inlineStr">
        <is>
          <t>31148</t>
        </is>
      </c>
      <c r="B65" s="7" t="inlineStr">
        <is>
          <t>Retro Roller Skate</t>
        </is>
      </c>
      <c r="C65" s="6" t="inlineStr">
        <is>
          <t>Creator</t>
        </is>
      </c>
      <c r="D65" s="6" t="inlineStr">
        <is>
          <t>2026-12-31</t>
        </is>
      </c>
      <c r="E65" s="6" t="inlineStr">
        <is>
          <t>TAK</t>
        </is>
      </c>
    </row>
    <row r="66">
      <c r="A66" s="4" t="inlineStr">
        <is>
          <t>31169</t>
        </is>
      </c>
      <c r="B66" s="5" t="inlineStr">
        <is>
          <t>Typewriter with Flowers</t>
        </is>
      </c>
      <c r="C66" s="4" t="inlineStr">
        <is>
          <t>Creator</t>
        </is>
      </c>
      <c r="D66" s="4" t="inlineStr">
        <is>
          <t>2026-12-31</t>
        </is>
      </c>
      <c r="E66" s="4" t="inlineStr">
        <is>
          <t>TAK</t>
        </is>
      </c>
    </row>
    <row r="67">
      <c r="A67" s="6" t="inlineStr">
        <is>
          <t>31171</t>
        </is>
      </c>
      <c r="B67" s="7" t="inlineStr">
        <is>
          <t>Majestic Rhino</t>
        </is>
      </c>
      <c r="C67" s="6" t="inlineStr">
        <is>
          <t>Creator</t>
        </is>
      </c>
      <c r="D67" s="6" t="inlineStr">
        <is>
          <t>2026-12-31</t>
        </is>
      </c>
      <c r="E67" s="6" t="inlineStr">
        <is>
          <t>TAK</t>
        </is>
      </c>
    </row>
    <row r="68">
      <c r="A68" s="4" t="inlineStr">
        <is>
          <t>31172</t>
        </is>
      </c>
      <c r="B68" s="5" t="inlineStr">
        <is>
          <t>Record Player with Flowers</t>
        </is>
      </c>
      <c r="C68" s="4" t="inlineStr">
        <is>
          <t>Creator</t>
        </is>
      </c>
      <c r="D68" s="4" t="inlineStr">
        <is>
          <t>2026-12-31</t>
        </is>
      </c>
      <c r="E68" s="4" t="inlineStr">
        <is>
          <t>TAK</t>
        </is>
      </c>
    </row>
    <row r="69">
      <c r="A69" s="6" t="inlineStr">
        <is>
          <t>31174</t>
        </is>
      </c>
      <c r="B69" s="7" t="inlineStr">
        <is>
          <t>Retro Telephone</t>
        </is>
      </c>
      <c r="C69" s="6" t="inlineStr">
        <is>
          <t>Creator</t>
        </is>
      </c>
      <c r="D69" s="6" t="inlineStr">
        <is>
          <t>2026-12-31</t>
        </is>
      </c>
      <c r="E69" s="6" t="inlineStr">
        <is>
          <t>TAK</t>
        </is>
      </c>
    </row>
    <row r="70">
      <c r="A70" s="4" t="inlineStr">
        <is>
          <t>31175</t>
        </is>
      </c>
      <c r="B70" s="5" t="inlineStr">
        <is>
          <t>Unicorn Castle</t>
        </is>
      </c>
      <c r="C70" s="4" t="inlineStr">
        <is>
          <t>Creator</t>
        </is>
      </c>
      <c r="D70" s="4" t="inlineStr">
        <is>
          <t>2026-12-31</t>
        </is>
      </c>
      <c r="E70" s="4" t="inlineStr">
        <is>
          <t>TAK</t>
        </is>
      </c>
    </row>
    <row r="71">
      <c r="A71" s="6" t="inlineStr">
        <is>
          <t>31378</t>
        </is>
      </c>
      <c r="B71" s="7" t="inlineStr">
        <is>
          <t>Space Exploration Telescope</t>
        </is>
      </c>
      <c r="C71" s="6" t="inlineStr">
        <is>
          <t>Creator</t>
        </is>
      </c>
      <c r="D71" s="6" t="inlineStr">
        <is>
          <t>2026-12-31</t>
        </is>
      </c>
      <c r="E71" s="6" t="inlineStr">
        <is>
          <t>TAK</t>
        </is>
      </c>
    </row>
    <row r="72">
      <c r="A72" s="4" t="inlineStr">
        <is>
          <t>40468</t>
        </is>
      </c>
      <c r="B72" s="5" t="inlineStr">
        <is>
          <t>Yellow Taxi</t>
        </is>
      </c>
      <c r="C72" s="4" t="inlineStr">
        <is>
          <t>Creator</t>
        </is>
      </c>
      <c r="D72" s="4" t="inlineStr">
        <is>
          <t>2026-12-31</t>
        </is>
      </c>
      <c r="E72" s="4" t="inlineStr">
        <is>
          <t>TAK</t>
        </is>
      </c>
    </row>
    <row r="73">
      <c r="A73" s="6" t="inlineStr">
        <is>
          <t>30726</t>
        </is>
      </c>
      <c r="B73" s="7" t="inlineStr">
        <is>
          <t>Batman: Bruce Wayne and the Batsuit (Polybag)</t>
        </is>
      </c>
      <c r="C73" s="6" t="inlineStr">
        <is>
          <t>DC</t>
        </is>
      </c>
      <c r="D73" s="6" t="inlineStr">
        <is>
          <t>2026-12-31</t>
        </is>
      </c>
      <c r="E73" s="6" t="inlineStr">
        <is>
          <t>TAK</t>
        </is>
      </c>
    </row>
    <row r="74">
      <c r="A74" s="4" t="inlineStr">
        <is>
          <t>76303</t>
        </is>
      </c>
      <c r="B74" s="5" t="inlineStr">
        <is>
          <t>Batman Tumbler vs. Two-Face &amp; The Joker</t>
        </is>
      </c>
      <c r="C74" s="4" t="inlineStr">
        <is>
          <t>DC</t>
        </is>
      </c>
      <c r="D74" s="4" t="inlineStr">
        <is>
          <t>2026-12-31</t>
        </is>
      </c>
      <c r="E74" s="4" t="inlineStr">
        <is>
          <t>TAK</t>
        </is>
      </c>
    </row>
    <row r="75">
      <c r="A75" s="6" t="inlineStr">
        <is>
          <t>76304</t>
        </is>
      </c>
      <c r="B75" s="7" t="inlineStr">
        <is>
          <t>Batman Forever Batmobile</t>
        </is>
      </c>
      <c r="C75" s="6" t="inlineStr">
        <is>
          <t>DC</t>
        </is>
      </c>
      <c r="D75" s="6" t="inlineStr">
        <is>
          <t>2026-12-31</t>
        </is>
      </c>
      <c r="E75" s="6" t="inlineStr">
        <is>
          <t>TAK</t>
        </is>
      </c>
    </row>
    <row r="76">
      <c r="A76" s="4" t="inlineStr">
        <is>
          <t>30720</t>
        </is>
      </c>
      <c r="B76" s="5" t="inlineStr">
        <is>
          <t>Ariel and Flounder's Birthday Music Fun (Polybag)</t>
        </is>
      </c>
      <c r="C76" s="4" t="inlineStr">
        <is>
          <t>Disney</t>
        </is>
      </c>
      <c r="D76" s="4" t="inlineStr">
        <is>
          <t>2026-12-31</t>
        </is>
      </c>
      <c r="E76" s="4" t="inlineStr">
        <is>
          <t>TAK</t>
        </is>
      </c>
    </row>
    <row r="77">
      <c r="A77" s="6" t="inlineStr">
        <is>
          <t>40708</t>
        </is>
      </c>
      <c r="B77" s="7" t="inlineStr">
        <is>
          <t>Mini Disney Ariel's Castle</t>
        </is>
      </c>
      <c r="C77" s="6" t="inlineStr">
        <is>
          <t>Disney</t>
        </is>
      </c>
      <c r="D77" s="6" t="inlineStr">
        <is>
          <t>2026-12-31</t>
        </is>
      </c>
      <c r="E77" s="6" t="inlineStr">
        <is>
          <t>TAK</t>
        </is>
      </c>
    </row>
    <row r="78">
      <c r="A78" s="4" t="inlineStr">
        <is>
          <t>43217</t>
        </is>
      </c>
      <c r="B78" s="5" t="inlineStr">
        <is>
          <t>'Up' House</t>
        </is>
      </c>
      <c r="C78" s="4" t="inlineStr">
        <is>
          <t>Disney</t>
        </is>
      </c>
      <c r="D78" s="4" t="inlineStr">
        <is>
          <t>2026-12-31</t>
        </is>
      </c>
      <c r="E78" s="4" t="inlineStr">
        <is>
          <t>TAK</t>
        </is>
      </c>
    </row>
    <row r="79">
      <c r="A79" s="6" t="inlineStr">
        <is>
          <t>43258</t>
        </is>
      </c>
      <c r="B79" s="7" t="inlineStr">
        <is>
          <t>Kakamora Barge</t>
        </is>
      </c>
      <c r="C79" s="6" t="inlineStr">
        <is>
          <t>Disney</t>
        </is>
      </c>
      <c r="D79" s="6" t="inlineStr">
        <is>
          <t>2026-12-31</t>
        </is>
      </c>
      <c r="E79" s="6" t="inlineStr">
        <is>
          <t>TAK</t>
        </is>
      </c>
    </row>
    <row r="80">
      <c r="A80" s="4" t="inlineStr">
        <is>
          <t>43260</t>
        </is>
      </c>
      <c r="B80" s="5" t="inlineStr">
        <is>
          <t>Moana's Island Fun</t>
        </is>
      </c>
      <c r="C80" s="4" t="inlineStr">
        <is>
          <t>Disney</t>
        </is>
      </c>
      <c r="D80" s="4" t="inlineStr">
        <is>
          <t>2026-12-31</t>
        </is>
      </c>
      <c r="E80" s="4" t="inlineStr">
        <is>
          <t>TAK</t>
        </is>
      </c>
    </row>
    <row r="81">
      <c r="A81" s="6" t="inlineStr">
        <is>
          <t>43262</t>
        </is>
      </c>
      <c r="B81" s="7" t="inlineStr">
        <is>
          <t>Maleficent's and Cruella De Vil's Dresses</t>
        </is>
      </c>
      <c r="C81" s="6" t="inlineStr">
        <is>
          <t>Disney</t>
        </is>
      </c>
      <c r="D81" s="6" t="inlineStr">
        <is>
          <t>2026-12-31</t>
        </is>
      </c>
      <c r="E81" s="6" t="inlineStr">
        <is>
          <t>TAK</t>
        </is>
      </c>
    </row>
    <row r="82">
      <c r="A82" s="4" t="inlineStr">
        <is>
          <t>43263</t>
        </is>
      </c>
      <c r="B82" s="5" t="inlineStr">
        <is>
          <t>Beauty and the Beast Castle</t>
        </is>
      </c>
      <c r="C82" s="4" t="inlineStr">
        <is>
          <t>Disney</t>
        </is>
      </c>
      <c r="D82" s="4" t="inlineStr">
        <is>
          <t>2026-12-31</t>
        </is>
      </c>
      <c r="E82" s="4" t="inlineStr">
        <is>
          <t>TAK</t>
        </is>
      </c>
    </row>
    <row r="83">
      <c r="A83" s="6" t="inlineStr">
        <is>
          <t>43264</t>
        </is>
      </c>
      <c r="B83" s="7" t="inlineStr">
        <is>
          <t>Toy Story Celebration Train &amp; RC Car</t>
        </is>
      </c>
      <c r="C83" s="6" t="inlineStr">
        <is>
          <t>Disney</t>
        </is>
      </c>
      <c r="D83" s="6" t="inlineStr">
        <is>
          <t>2026-12-31</t>
        </is>
      </c>
      <c r="E83" s="6" t="inlineStr">
        <is>
          <t>TAK</t>
        </is>
      </c>
    </row>
    <row r="84">
      <c r="A84" s="4" t="inlineStr">
        <is>
          <t>43265</t>
        </is>
      </c>
      <c r="B84" s="5" t="inlineStr">
        <is>
          <t>Arendelle Frozen Castle</t>
        </is>
      </c>
      <c r="C84" s="4" t="inlineStr">
        <is>
          <t>Disney</t>
        </is>
      </c>
      <c r="D84" s="4" t="inlineStr">
        <is>
          <t>2026-12-31</t>
        </is>
      </c>
      <c r="E84" s="4" t="inlineStr">
        <is>
          <t>TAK</t>
        </is>
      </c>
    </row>
    <row r="85">
      <c r="A85" s="6" t="inlineStr">
        <is>
          <t>43267</t>
        </is>
      </c>
      <c r="B85" s="7" t="inlineStr">
        <is>
          <t>Princess Castle &amp; Royal Pets</t>
        </is>
      </c>
      <c r="C85" s="6" t="inlineStr">
        <is>
          <t>Disney</t>
        </is>
      </c>
      <c r="D85" s="6" t="inlineStr">
        <is>
          <t>2026-12-31</t>
        </is>
      </c>
      <c r="E85" s="6" t="inlineStr">
        <is>
          <t>TAK</t>
        </is>
      </c>
    </row>
    <row r="86">
      <c r="A86" s="4" t="inlineStr">
        <is>
          <t>43268</t>
        </is>
      </c>
      <c r="B86" s="5" t="inlineStr">
        <is>
          <t>Lilo and Stitch Beach House</t>
        </is>
      </c>
      <c r="C86" s="4" t="inlineStr">
        <is>
          <t>Disney</t>
        </is>
      </c>
      <c r="D86" s="4" t="inlineStr">
        <is>
          <t>2026-12-31</t>
        </is>
      </c>
      <c r="E86" s="4" t="inlineStr">
        <is>
          <t>TAK</t>
        </is>
      </c>
    </row>
    <row r="87">
      <c r="A87" s="6" t="inlineStr">
        <is>
          <t>43270</t>
        </is>
      </c>
      <c r="B87" s="7" t="inlineStr">
        <is>
          <t>Moana Adventure Canoe</t>
        </is>
      </c>
      <c r="C87" s="6" t="inlineStr">
        <is>
          <t>Disney</t>
        </is>
      </c>
      <c r="D87" s="6" t="inlineStr">
        <is>
          <t>2026-12-31</t>
        </is>
      </c>
      <c r="E87" s="6" t="inlineStr">
        <is>
          <t>TAK</t>
        </is>
      </c>
    </row>
    <row r="88">
      <c r="A88" s="4" t="inlineStr">
        <is>
          <t>43272</t>
        </is>
      </c>
      <c r="B88" s="5" t="inlineStr">
        <is>
          <t>Heihei</t>
        </is>
      </c>
      <c r="C88" s="4" t="inlineStr">
        <is>
          <t>Disney</t>
        </is>
      </c>
      <c r="D88" s="4" t="inlineStr">
        <is>
          <t>2026-12-31</t>
        </is>
      </c>
      <c r="E88" s="4" t="inlineStr">
        <is>
          <t>TAK</t>
        </is>
      </c>
    </row>
    <row r="89">
      <c r="A89" s="6" t="inlineStr">
        <is>
          <t>43277</t>
        </is>
      </c>
      <c r="B89" s="7" t="inlineStr">
        <is>
          <t>Cruella De Vil's Car</t>
        </is>
      </c>
      <c r="C89" s="6" t="inlineStr">
        <is>
          <t>Disney</t>
        </is>
      </c>
      <c r="D89" s="6" t="inlineStr">
        <is>
          <t>2026-12-31</t>
        </is>
      </c>
      <c r="E89" s="6" t="inlineStr">
        <is>
          <t>TAK</t>
        </is>
      </c>
    </row>
    <row r="90">
      <c r="A90" s="4" t="inlineStr">
        <is>
          <t>43278</t>
        </is>
      </c>
      <c r="B90" s="5" t="inlineStr">
        <is>
          <t>Mini Arendelle Castle &amp; Elsa's Ice Palace</t>
        </is>
      </c>
      <c r="C90" s="4" t="inlineStr">
        <is>
          <t>Disney</t>
        </is>
      </c>
      <c r="D90" s="4" t="inlineStr">
        <is>
          <t>2026-12-31</t>
        </is>
      </c>
      <c r="E90" s="4" t="inlineStr">
        <is>
          <t>TAK</t>
        </is>
      </c>
    </row>
    <row r="91">
      <c r="A91" s="6" t="inlineStr">
        <is>
          <t>43284</t>
        </is>
      </c>
      <c r="B91" s="7" t="inlineStr">
        <is>
          <t>Mini Anna &amp; Elsa</t>
        </is>
      </c>
      <c r="C91" s="6" t="inlineStr">
        <is>
          <t>Disney</t>
        </is>
      </c>
      <c r="D91" s="6" t="inlineStr">
        <is>
          <t>2026-12-31</t>
        </is>
      </c>
      <c r="E91" s="6" t="inlineStr">
        <is>
          <t>TAK</t>
        </is>
      </c>
    </row>
    <row r="92">
      <c r="A92" s="4" t="inlineStr">
        <is>
          <t>43285</t>
        </is>
      </c>
      <c r="B92" s="5" t="inlineStr">
        <is>
          <t>Ariel's Magical Mini Palace</t>
        </is>
      </c>
      <c r="C92" s="4" t="inlineStr">
        <is>
          <t>Disney</t>
        </is>
      </c>
      <c r="D92" s="4" t="inlineStr">
        <is>
          <t>2026-12-31</t>
        </is>
      </c>
      <c r="E92" s="4" t="inlineStr">
        <is>
          <t>TAK</t>
        </is>
      </c>
    </row>
    <row r="93">
      <c r="A93" s="6" t="inlineStr">
        <is>
          <t>43291</t>
        </is>
      </c>
      <c r="B93" s="7" t="inlineStr">
        <is>
          <t>Mini Belle &amp; Tiana with Castle</t>
        </is>
      </c>
      <c r="C93" s="6" t="inlineStr">
        <is>
          <t>Disney</t>
        </is>
      </c>
      <c r="D93" s="6" t="inlineStr">
        <is>
          <t>2026-12-31</t>
        </is>
      </c>
      <c r="E93" s="6" t="inlineStr">
        <is>
          <t>TAK</t>
        </is>
      </c>
    </row>
    <row r="94">
      <c r="A94" s="4" t="inlineStr">
        <is>
          <t>43298</t>
        </is>
      </c>
      <c r="B94" s="5" t="inlineStr">
        <is>
          <t>LEGO Disney Advent Calendar 2026</t>
        </is>
      </c>
      <c r="C94" s="4" t="inlineStr">
        <is>
          <t>Disney</t>
        </is>
      </c>
      <c r="D94" s="4" t="inlineStr">
        <is>
          <t>2026-12-31</t>
        </is>
      </c>
      <c r="E94" s="4" t="inlineStr">
        <is>
          <t>TAK</t>
        </is>
      </c>
    </row>
    <row r="95">
      <c r="A95" s="6" t="inlineStr">
        <is>
          <t>43303</t>
        </is>
      </c>
      <c r="B95" s="7" t="inlineStr">
        <is>
          <t>Mini Jasmine &amp; Rapunzel</t>
        </is>
      </c>
      <c r="C95" s="6" t="inlineStr">
        <is>
          <t>Disney</t>
        </is>
      </c>
      <c r="D95" s="6" t="inlineStr">
        <is>
          <t>2026-12-31</t>
        </is>
      </c>
      <c r="E95" s="6" t="inlineStr">
        <is>
          <t>TAK</t>
        </is>
      </c>
    </row>
    <row r="96">
      <c r="A96" s="4" t="inlineStr">
        <is>
          <t>71492</t>
        </is>
      </c>
      <c r="B96" s="5" t="inlineStr">
        <is>
          <t>Mateo's Fire Chameleon</t>
        </is>
      </c>
      <c r="C96" s="4" t="inlineStr">
        <is>
          <t>DREAMZzz</t>
        </is>
      </c>
      <c r="D96" s="4" t="inlineStr">
        <is>
          <t>2026-12-31</t>
        </is>
      </c>
      <c r="E96" s="4" t="inlineStr">
        <is>
          <t>TAK</t>
        </is>
      </c>
    </row>
    <row r="97">
      <c r="A97" s="6" t="inlineStr">
        <is>
          <t>71499</t>
        </is>
      </c>
      <c r="B97" s="7" t="inlineStr">
        <is>
          <t>Mateo's Spray Paint Truck</t>
        </is>
      </c>
      <c r="C97" s="6" t="inlineStr">
        <is>
          <t>DREAMZzz</t>
        </is>
      </c>
      <c r="D97" s="6" t="inlineStr">
        <is>
          <t>2026-12-31</t>
        </is>
      </c>
      <c r="E97" s="6" t="inlineStr">
        <is>
          <t>TAK</t>
        </is>
      </c>
    </row>
    <row r="98">
      <c r="A98" s="4" t="inlineStr">
        <is>
          <t>71500</t>
        </is>
      </c>
      <c r="B98" s="5" t="inlineStr">
        <is>
          <t>Nightmare Shark Submarine</t>
        </is>
      </c>
      <c r="C98" s="4" t="inlineStr">
        <is>
          <t>DREAMZzz</t>
        </is>
      </c>
      <c r="D98" s="4" t="inlineStr">
        <is>
          <t>2026-12-31</t>
        </is>
      </c>
      <c r="E98" s="4" t="inlineStr">
        <is>
          <t>TAK</t>
        </is>
      </c>
    </row>
    <row r="99">
      <c r="A99" s="6" t="inlineStr">
        <is>
          <t>71508</t>
        </is>
      </c>
      <c r="B99" s="7" t="inlineStr">
        <is>
          <t>Fox Guardian Mech</t>
        </is>
      </c>
      <c r="C99" s="6" t="inlineStr">
        <is>
          <t>DREAMZzz</t>
        </is>
      </c>
      <c r="D99" s="6" t="inlineStr">
        <is>
          <t>2026-12-31</t>
        </is>
      </c>
      <c r="E99" s="6" t="inlineStr">
        <is>
          <t>TAK</t>
        </is>
      </c>
    </row>
    <row r="100">
      <c r="A100" s="4" t="inlineStr">
        <is>
          <t>71512</t>
        </is>
      </c>
      <c r="B100" s="5" t="inlineStr">
        <is>
          <t>Crocodile Submarine</t>
        </is>
      </c>
      <c r="C100" s="4" t="inlineStr">
        <is>
          <t>DREAMZzz</t>
        </is>
      </c>
      <c r="D100" s="4" t="inlineStr">
        <is>
          <t>2026-12-31</t>
        </is>
      </c>
      <c r="E100" s="4" t="inlineStr">
        <is>
          <t>TAK</t>
        </is>
      </c>
    </row>
    <row r="101">
      <c r="A101" s="6" t="inlineStr">
        <is>
          <t>71513</t>
        </is>
      </c>
      <c r="B101" s="7" t="inlineStr">
        <is>
          <t>Nightmare Scorpion Digger</t>
        </is>
      </c>
      <c r="C101" s="6" t="inlineStr">
        <is>
          <t>DREAMZzz</t>
        </is>
      </c>
      <c r="D101" s="6" t="inlineStr">
        <is>
          <t>2026-12-31</t>
        </is>
      </c>
      <c r="E101" s="6" t="inlineStr">
        <is>
          <t>TAK</t>
        </is>
      </c>
    </row>
    <row r="102">
      <c r="A102" s="4" t="inlineStr">
        <is>
          <t>71514</t>
        </is>
      </c>
      <c r="B102" s="5" t="inlineStr">
        <is>
          <t>Dino Jet</t>
        </is>
      </c>
      <c r="C102" s="4" t="inlineStr">
        <is>
          <t>DREAMZzz</t>
        </is>
      </c>
      <c r="D102" s="4" t="inlineStr">
        <is>
          <t>2026-12-31</t>
        </is>
      </c>
      <c r="E102" s="4" t="inlineStr">
        <is>
          <t>TAK</t>
        </is>
      </c>
    </row>
    <row r="103">
      <c r="A103" s="6" t="inlineStr">
        <is>
          <t>71515</t>
        </is>
      </c>
      <c r="B103" s="7" t="inlineStr">
        <is>
          <t>Tiger Shark Tank</t>
        </is>
      </c>
      <c r="C103" s="6" t="inlineStr">
        <is>
          <t>DREAMZzz</t>
        </is>
      </c>
      <c r="D103" s="6" t="inlineStr">
        <is>
          <t>2026-12-31</t>
        </is>
      </c>
      <c r="E103" s="6" t="inlineStr">
        <is>
          <t>TAK</t>
        </is>
      </c>
    </row>
    <row r="104">
      <c r="A104" s="4" t="inlineStr">
        <is>
          <t>10412</t>
        </is>
      </c>
      <c r="B104" s="5" t="inlineStr">
        <is>
          <t>Animal Train</t>
        </is>
      </c>
      <c r="C104" s="4" t="inlineStr">
        <is>
          <t>Duplo</t>
        </is>
      </c>
      <c r="D104" s="4" t="inlineStr">
        <is>
          <t>2026-12-31</t>
        </is>
      </c>
      <c r="E104" s="4" t="inlineStr">
        <is>
          <t>TAK</t>
        </is>
      </c>
    </row>
    <row r="105">
      <c r="A105" s="6" t="inlineStr">
        <is>
          <t>10441</t>
        </is>
      </c>
      <c r="B105" s="7" t="inlineStr">
        <is>
          <t>Shape Sorter: Puppy House</t>
        </is>
      </c>
      <c r="C105" s="6" t="inlineStr">
        <is>
          <t>Duplo</t>
        </is>
      </c>
      <c r="D105" s="6" t="inlineStr">
        <is>
          <t>2026-12-31</t>
        </is>
      </c>
      <c r="E105" s="6" t="inlineStr">
        <is>
          <t>TAK</t>
        </is>
      </c>
    </row>
    <row r="106">
      <c r="A106" s="4" t="inlineStr">
        <is>
          <t>10442</t>
        </is>
      </c>
      <c r="B106" s="5" t="inlineStr">
        <is>
          <t>Wild Animal Families: Penguins &amp; Lions</t>
        </is>
      </c>
      <c r="C106" s="4" t="inlineStr">
        <is>
          <t>Duplo</t>
        </is>
      </c>
      <c r="D106" s="4" t="inlineStr">
        <is>
          <t>2026-12-31</t>
        </is>
      </c>
      <c r="E106" s="4" t="inlineStr">
        <is>
          <t>TAK</t>
        </is>
      </c>
    </row>
    <row r="107">
      <c r="A107" s="6" t="inlineStr">
        <is>
          <t>10443</t>
        </is>
      </c>
      <c r="B107" s="7" t="inlineStr">
        <is>
          <t>First Time at the Airport</t>
        </is>
      </c>
      <c r="C107" s="6" t="inlineStr">
        <is>
          <t>Duplo</t>
        </is>
      </c>
      <c r="D107" s="6" t="inlineStr">
        <is>
          <t>2026-12-31</t>
        </is>
      </c>
      <c r="E107" s="6" t="inlineStr">
        <is>
          <t>TAK</t>
        </is>
      </c>
    </row>
    <row r="108">
      <c r="A108" s="4" t="inlineStr">
        <is>
          <t>10444</t>
        </is>
      </c>
      <c r="B108" s="5" t="inlineStr">
        <is>
          <t>Creative Garden &amp; Flowers</t>
        </is>
      </c>
      <c r="C108" s="4" t="inlineStr">
        <is>
          <t>Duplo</t>
        </is>
      </c>
      <c r="D108" s="4" t="inlineStr">
        <is>
          <t>2026-12-31</t>
        </is>
      </c>
      <c r="E108" s="4" t="inlineStr">
        <is>
          <t>TAK</t>
        </is>
      </c>
    </row>
    <row r="109">
      <c r="A109" s="6" t="inlineStr">
        <is>
          <t>10445</t>
        </is>
      </c>
      <c r="B109" s="7" t="inlineStr">
        <is>
          <t>F1 Team Race Cars &amp; Drivers</t>
        </is>
      </c>
      <c r="C109" s="6" t="inlineStr">
        <is>
          <t>Duplo</t>
        </is>
      </c>
      <c r="D109" s="6" t="inlineStr">
        <is>
          <t>2026-12-31</t>
        </is>
      </c>
      <c r="E109" s="6" t="inlineStr">
        <is>
          <t>TAK</t>
        </is>
      </c>
    </row>
    <row r="110">
      <c r="A110" s="4" t="inlineStr">
        <is>
          <t>10446</t>
        </is>
      </c>
      <c r="B110" s="5" t="inlineStr">
        <is>
          <t>3in1 Wild Animal Families</t>
        </is>
      </c>
      <c r="C110" s="4" t="inlineStr">
        <is>
          <t>Duplo</t>
        </is>
      </c>
      <c r="D110" s="4" t="inlineStr">
        <is>
          <t>2026-12-31</t>
        </is>
      </c>
      <c r="E110" s="4" t="inlineStr">
        <is>
          <t>TAK</t>
        </is>
      </c>
    </row>
    <row r="111">
      <c r="A111" s="6" t="inlineStr">
        <is>
          <t>10448</t>
        </is>
      </c>
      <c r="B111" s="7" t="inlineStr">
        <is>
          <t>3in1 Animals on Wheels</t>
        </is>
      </c>
      <c r="C111" s="6" t="inlineStr">
        <is>
          <t>Duplo</t>
        </is>
      </c>
      <c r="D111" s="6" t="inlineStr">
        <is>
          <t>2026-12-31</t>
        </is>
      </c>
      <c r="E111" s="6" t="inlineStr">
        <is>
          <t>TAK</t>
        </is>
      </c>
    </row>
    <row r="112">
      <c r="A112" s="4" t="inlineStr">
        <is>
          <t>10450</t>
        </is>
      </c>
      <c r="B112" s="5" t="inlineStr">
        <is>
          <t>Hopsy's Castle Game</t>
        </is>
      </c>
      <c r="C112" s="4" t="inlineStr">
        <is>
          <t>Duplo</t>
        </is>
      </c>
      <c r="D112" s="4" t="inlineStr">
        <is>
          <t>2026-12-31</t>
        </is>
      </c>
      <c r="E112" s="4" t="inlineStr">
        <is>
          <t>TAK</t>
        </is>
      </c>
    </row>
    <row r="113">
      <c r="A113" s="6" t="inlineStr">
        <is>
          <t>10451</t>
        </is>
      </c>
      <c r="B113" s="7" t="inlineStr">
        <is>
          <t>3in1 Dinosaurs on Wheels</t>
        </is>
      </c>
      <c r="C113" s="6" t="inlineStr">
        <is>
          <t>Duplo</t>
        </is>
      </c>
      <c r="D113" s="6" t="inlineStr">
        <is>
          <t>2026-12-31</t>
        </is>
      </c>
      <c r="E113" s="6" t="inlineStr">
        <is>
          <t>TAK</t>
        </is>
      </c>
    </row>
    <row r="114">
      <c r="A114" s="4" t="inlineStr">
        <is>
          <t>10452</t>
        </is>
      </c>
      <c r="B114" s="5" t="inlineStr">
        <is>
          <t>Camping Trip</t>
        </is>
      </c>
      <c r="C114" s="4" t="inlineStr">
        <is>
          <t>Duplo</t>
        </is>
      </c>
      <c r="D114" s="4" t="inlineStr">
        <is>
          <t>2026-12-31</t>
        </is>
      </c>
      <c r="E114" s="4" t="inlineStr">
        <is>
          <t>TAK</t>
        </is>
      </c>
    </row>
    <row r="115">
      <c r="A115" s="6" t="inlineStr">
        <is>
          <t>10453</t>
        </is>
      </c>
      <c r="B115" s="7" t="inlineStr">
        <is>
          <t>Funfair</t>
        </is>
      </c>
      <c r="C115" s="6" t="inlineStr">
        <is>
          <t>Duplo</t>
        </is>
      </c>
      <c r="D115" s="6" t="inlineStr">
        <is>
          <t>2026-12-31</t>
        </is>
      </c>
      <c r="E115" s="6" t="inlineStr">
        <is>
          <t>TAK</t>
        </is>
      </c>
    </row>
    <row r="116">
      <c r="A116" s="4" t="inlineStr">
        <is>
          <t>10455</t>
        </is>
      </c>
      <c r="B116" s="5" t="inlineStr">
        <is>
          <t>Anna and Elsa's Frozen Castle Party</t>
        </is>
      </c>
      <c r="C116" s="4" t="inlineStr">
        <is>
          <t>Duplo</t>
        </is>
      </c>
      <c r="D116" s="4" t="inlineStr">
        <is>
          <t>2026-12-31</t>
        </is>
      </c>
      <c r="E116" s="4" t="inlineStr">
        <is>
          <t>TAK</t>
        </is>
      </c>
    </row>
    <row r="117">
      <c r="A117" s="6" t="inlineStr">
        <is>
          <t>10456</t>
        </is>
      </c>
      <c r="B117" s="7" t="inlineStr">
        <is>
          <t>McQueen's Visit to Doc's Garage</t>
        </is>
      </c>
      <c r="C117" s="6" t="inlineStr">
        <is>
          <t>Duplo</t>
        </is>
      </c>
      <c r="D117" s="6" t="inlineStr">
        <is>
          <t>2026-12-31</t>
        </is>
      </c>
      <c r="E117" s="6" t="inlineStr">
        <is>
          <t>TAK</t>
        </is>
      </c>
    </row>
    <row r="118">
      <c r="A118" s="4" t="inlineStr">
        <is>
          <t>10458</t>
        </is>
      </c>
      <c r="B118" s="5" t="inlineStr">
        <is>
          <t>Ice Cream Trip with Bluey</t>
        </is>
      </c>
      <c r="C118" s="4" t="inlineStr">
        <is>
          <t>Duplo</t>
        </is>
      </c>
      <c r="D118" s="4" t="inlineStr">
        <is>
          <t>2026-12-31</t>
        </is>
      </c>
      <c r="E118" s="4" t="inlineStr">
        <is>
          <t>TAK</t>
        </is>
      </c>
    </row>
    <row r="119">
      <c r="A119" s="6" t="inlineStr">
        <is>
          <t>10459</t>
        </is>
      </c>
      <c r="B119" s="7" t="inlineStr">
        <is>
          <t>Bluey's Family House with Memory Game</t>
        </is>
      </c>
      <c r="C119" s="6" t="inlineStr">
        <is>
          <t>Duplo</t>
        </is>
      </c>
      <c r="D119" s="6" t="inlineStr">
        <is>
          <t>2026-12-31</t>
        </is>
      </c>
      <c r="E119" s="6" t="inlineStr">
        <is>
          <t>TAK</t>
        </is>
      </c>
    </row>
    <row r="120">
      <c r="A120" s="4" t="inlineStr">
        <is>
          <t>10461</t>
        </is>
      </c>
      <c r="B120" s="5" t="inlineStr">
        <is>
          <t>Grandpa Pig's Garden and Greenhouse</t>
        </is>
      </c>
      <c r="C120" s="4" t="inlineStr">
        <is>
          <t>Duplo</t>
        </is>
      </c>
      <c r="D120" s="4" t="inlineStr">
        <is>
          <t>2026-12-31</t>
        </is>
      </c>
      <c r="E120" s="4" t="inlineStr">
        <is>
          <t>TAK</t>
        </is>
      </c>
    </row>
    <row r="121">
      <c r="A121" s="6" t="inlineStr">
        <is>
          <t>43033</t>
        </is>
      </c>
      <c r="B121" s="7" t="inlineStr">
        <is>
          <t>2026 U.S. Soccer National Team Jersey</t>
        </is>
      </c>
      <c r="C121" s="6" t="inlineStr">
        <is>
          <t>Editions</t>
        </is>
      </c>
      <c r="D121" s="6" t="inlineStr">
        <is>
          <t>2026-12-31</t>
        </is>
      </c>
      <c r="E121" s="6" t="inlineStr">
        <is>
          <t>TAK</t>
        </is>
      </c>
    </row>
    <row r="122">
      <c r="A122" s="4" t="inlineStr">
        <is>
          <t>66818</t>
        </is>
      </c>
      <c r="B122" s="5" t="inlineStr">
        <is>
          <t>Lionel Messi – Collector's Set</t>
        </is>
      </c>
      <c r="C122" s="4" t="inlineStr">
        <is>
          <t>Editions</t>
        </is>
      </c>
      <c r="D122" s="4" t="inlineStr">
        <is>
          <t>2026-12-31</t>
        </is>
      </c>
      <c r="E122" s="4" t="inlineStr">
        <is>
          <t>TAK</t>
        </is>
      </c>
    </row>
    <row r="123">
      <c r="A123" s="6" t="inlineStr">
        <is>
          <t>41843</t>
        </is>
      </c>
      <c r="B123" s="7" t="inlineStr">
        <is>
          <t>Family Christmas Tree</t>
        </is>
      </c>
      <c r="C123" s="6" t="inlineStr">
        <is>
          <t>Family</t>
        </is>
      </c>
      <c r="D123" s="6" t="inlineStr">
        <is>
          <t>2026-12-31</t>
        </is>
      </c>
      <c r="E123" s="6" t="inlineStr">
        <is>
          <t>TAK</t>
        </is>
      </c>
    </row>
    <row r="124">
      <c r="A124" s="4" t="inlineStr">
        <is>
          <t>77075</t>
        </is>
      </c>
      <c r="B124" s="5" t="inlineStr">
        <is>
          <t>Peely &amp; Sparkplug's Camp</t>
        </is>
      </c>
      <c r="C124" s="4" t="inlineStr">
        <is>
          <t>Fortnite</t>
        </is>
      </c>
      <c r="D124" s="4" t="inlineStr">
        <is>
          <t>2026-12-31</t>
        </is>
      </c>
      <c r="E124" s="4" t="inlineStr">
        <is>
          <t>TAK</t>
        </is>
      </c>
    </row>
    <row r="125">
      <c r="A125" s="6" t="inlineStr">
        <is>
          <t>77076</t>
        </is>
      </c>
      <c r="B125" s="7" t="inlineStr">
        <is>
          <t>Durrr Burger Restaurant</t>
        </is>
      </c>
      <c r="C125" s="6" t="inlineStr">
        <is>
          <t>Fortnite</t>
        </is>
      </c>
      <c r="D125" s="6" t="inlineStr">
        <is>
          <t>2026-12-31</t>
        </is>
      </c>
      <c r="E125" s="6" t="inlineStr">
        <is>
          <t>TAK</t>
        </is>
      </c>
    </row>
    <row r="126">
      <c r="A126" s="4" t="inlineStr">
        <is>
          <t>77077</t>
        </is>
      </c>
      <c r="B126" s="5" t="inlineStr">
        <is>
          <t>Klombo</t>
        </is>
      </c>
      <c r="C126" s="4" t="inlineStr">
        <is>
          <t>Fortnite</t>
        </is>
      </c>
      <c r="D126" s="4" t="inlineStr">
        <is>
          <t>2026-12-31</t>
        </is>
      </c>
      <c r="E126" s="4" t="inlineStr">
        <is>
          <t>TAK</t>
        </is>
      </c>
    </row>
    <row r="127">
      <c r="A127" s="6" t="inlineStr">
        <is>
          <t>77078</t>
        </is>
      </c>
      <c r="B127" s="7" t="inlineStr">
        <is>
          <t>Mecha Team Leader</t>
        </is>
      </c>
      <c r="C127" s="6" t="inlineStr">
        <is>
          <t>Fortnite</t>
        </is>
      </c>
      <c r="D127" s="6" t="inlineStr">
        <is>
          <t>2026-12-31</t>
        </is>
      </c>
      <c r="E127" s="6" t="inlineStr">
        <is>
          <t>TAK</t>
        </is>
      </c>
    </row>
    <row r="128">
      <c r="A128" s="4" t="inlineStr">
        <is>
          <t>30721</t>
        </is>
      </c>
      <c r="B128" s="5" t="inlineStr">
        <is>
          <t>Flower Stand with Roses (Polybag)</t>
        </is>
      </c>
      <c r="C128" s="4" t="inlineStr">
        <is>
          <t>Friends</t>
        </is>
      </c>
      <c r="D128" s="4" t="inlineStr">
        <is>
          <t>2026-12-31</t>
        </is>
      </c>
      <c r="E128" s="4" t="inlineStr">
        <is>
          <t>TAK</t>
        </is>
      </c>
    </row>
    <row r="129">
      <c r="A129" s="6" t="inlineStr">
        <is>
          <t>30722</t>
        </is>
      </c>
      <c r="B129" s="7" t="inlineStr">
        <is>
          <t>Garden Bunny House (Polybag)</t>
        </is>
      </c>
      <c r="C129" s="6" t="inlineStr">
        <is>
          <t>Friends</t>
        </is>
      </c>
      <c r="D129" s="6" t="inlineStr">
        <is>
          <t>2026-12-31</t>
        </is>
      </c>
      <c r="E129" s="6" t="inlineStr">
        <is>
          <t>TAK</t>
        </is>
      </c>
    </row>
    <row r="130">
      <c r="A130" s="4" t="inlineStr">
        <is>
          <t>42644</t>
        </is>
      </c>
      <c r="B130" s="5" t="inlineStr">
        <is>
          <t>Heartlake City Ice Cream Shop</t>
        </is>
      </c>
      <c r="C130" s="4" t="inlineStr">
        <is>
          <t>Friends</t>
        </is>
      </c>
      <c r="D130" s="4" t="inlineStr">
        <is>
          <t>2026-12-31</t>
        </is>
      </c>
      <c r="E130" s="4" t="inlineStr">
        <is>
          <t>TAK</t>
        </is>
      </c>
    </row>
    <row r="131">
      <c r="A131" s="6" t="inlineStr">
        <is>
          <t>42648</t>
        </is>
      </c>
      <c r="B131" s="7" t="inlineStr">
        <is>
          <t>Panda Sanctuary</t>
        </is>
      </c>
      <c r="C131" s="6" t="inlineStr">
        <is>
          <t>Friends</t>
        </is>
      </c>
      <c r="D131" s="6" t="inlineStr">
        <is>
          <t>2026-12-31</t>
        </is>
      </c>
      <c r="E131" s="6" t="inlineStr">
        <is>
          <t>TAK</t>
        </is>
      </c>
    </row>
    <row r="132">
      <c r="A132" s="4" t="inlineStr">
        <is>
          <t>42649</t>
        </is>
      </c>
      <c r="B132" s="5" t="inlineStr">
        <is>
          <t>Heartlake City Sweet Shop</t>
        </is>
      </c>
      <c r="C132" s="4" t="inlineStr">
        <is>
          <t>Friends</t>
        </is>
      </c>
      <c r="D132" s="4" t="inlineStr">
        <is>
          <t>2026-12-31</t>
        </is>
      </c>
      <c r="E132" s="4" t="inlineStr">
        <is>
          <t>TAK</t>
        </is>
      </c>
    </row>
    <row r="133">
      <c r="A133" s="6" t="inlineStr">
        <is>
          <t>42650</t>
        </is>
      </c>
      <c r="B133" s="7" t="inlineStr">
        <is>
          <t>Pet Accessories Shop</t>
        </is>
      </c>
      <c r="C133" s="6" t="inlineStr">
        <is>
          <t>Friends</t>
        </is>
      </c>
      <c r="D133" s="6" t="inlineStr">
        <is>
          <t>2026-12-31</t>
        </is>
      </c>
      <c r="E133" s="6" t="inlineStr">
        <is>
          <t>TAK</t>
        </is>
      </c>
    </row>
    <row r="134">
      <c r="A134" s="4" t="inlineStr">
        <is>
          <t>42659</t>
        </is>
      </c>
      <c r="B134" s="5" t="inlineStr">
        <is>
          <t>Friendship Road-Trip Travel Car</t>
        </is>
      </c>
      <c r="C134" s="4" t="inlineStr">
        <is>
          <t>Friends</t>
        </is>
      </c>
      <c r="D134" s="4" t="inlineStr">
        <is>
          <t>2026-12-31</t>
        </is>
      </c>
      <c r="E134" s="4" t="inlineStr">
        <is>
          <t>TAK</t>
        </is>
      </c>
    </row>
    <row r="135">
      <c r="A135" s="6" t="inlineStr">
        <is>
          <t>42661</t>
        </is>
      </c>
      <c r="B135" s="7" t="inlineStr">
        <is>
          <t>Costume Party</t>
        </is>
      </c>
      <c r="C135" s="6" t="inlineStr">
        <is>
          <t>Friends</t>
        </is>
      </c>
      <c r="D135" s="6" t="inlineStr">
        <is>
          <t>2026-12-31</t>
        </is>
      </c>
      <c r="E135" s="6" t="inlineStr">
        <is>
          <t>TAK</t>
        </is>
      </c>
    </row>
    <row r="136">
      <c r="A136" s="4" t="inlineStr">
        <is>
          <t>42663</t>
        </is>
      </c>
      <c r="B136" s="5" t="inlineStr">
        <is>
          <t>Friendship Camper Van Adventure</t>
        </is>
      </c>
      <c r="C136" s="4" t="inlineStr">
        <is>
          <t>Friends</t>
        </is>
      </c>
      <c r="D136" s="4" t="inlineStr">
        <is>
          <t>2026-12-31</t>
        </is>
      </c>
      <c r="E136" s="4" t="inlineStr">
        <is>
          <t>TAK</t>
        </is>
      </c>
    </row>
    <row r="137">
      <c r="A137" s="6" t="inlineStr">
        <is>
          <t>42664</t>
        </is>
      </c>
      <c r="B137" s="7" t="inlineStr">
        <is>
          <t>Travel Boat Adventure</t>
        </is>
      </c>
      <c r="C137" s="6" t="inlineStr">
        <is>
          <t>Friends</t>
        </is>
      </c>
      <c r="D137" s="6" t="inlineStr">
        <is>
          <t>2026-12-31</t>
        </is>
      </c>
      <c r="E137" s="6" t="inlineStr">
        <is>
          <t>TAK</t>
        </is>
      </c>
    </row>
    <row r="138">
      <c r="A138" s="4" t="inlineStr">
        <is>
          <t>42665</t>
        </is>
      </c>
      <c r="B138" s="5" t="inlineStr">
        <is>
          <t>Puppy Playground</t>
        </is>
      </c>
      <c r="C138" s="4" t="inlineStr">
        <is>
          <t>Friends</t>
        </is>
      </c>
      <c r="D138" s="4" t="inlineStr">
        <is>
          <t>2026-12-31</t>
        </is>
      </c>
      <c r="E138" s="4" t="inlineStr">
        <is>
          <t>TAK</t>
        </is>
      </c>
    </row>
    <row r="139">
      <c r="A139" s="6" t="inlineStr">
        <is>
          <t>42666</t>
        </is>
      </c>
      <c r="B139" s="7" t="inlineStr">
        <is>
          <t>Cat Birthday Party</t>
        </is>
      </c>
      <c r="C139" s="6" t="inlineStr">
        <is>
          <t>Friends</t>
        </is>
      </c>
      <c r="D139" s="6" t="inlineStr">
        <is>
          <t>2026-12-31</t>
        </is>
      </c>
      <c r="E139" s="6" t="inlineStr">
        <is>
          <t>TAK</t>
        </is>
      </c>
    </row>
    <row r="140">
      <c r="A140" s="4" t="inlineStr">
        <is>
          <t>42671</t>
        </is>
      </c>
      <c r="B140" s="5" t="inlineStr">
        <is>
          <t>Plant Cafe &amp; Flower Shop</t>
        </is>
      </c>
      <c r="C140" s="4" t="inlineStr">
        <is>
          <t>Friends</t>
        </is>
      </c>
      <c r="D140" s="4" t="inlineStr">
        <is>
          <t>2026-12-31</t>
        </is>
      </c>
      <c r="E140" s="4" t="inlineStr">
        <is>
          <t>TAK</t>
        </is>
      </c>
    </row>
    <row r="141">
      <c r="A141" s="6" t="inlineStr">
        <is>
          <t>42673</t>
        </is>
      </c>
      <c r="B141" s="7" t="inlineStr">
        <is>
          <t>Family Holiday Beach Resort</t>
        </is>
      </c>
      <c r="C141" s="6" t="inlineStr">
        <is>
          <t>Friends</t>
        </is>
      </c>
      <c r="D141" s="6" t="inlineStr">
        <is>
          <t>2026-12-31</t>
        </is>
      </c>
      <c r="E141" s="6" t="inlineStr">
        <is>
          <t>TAK</t>
        </is>
      </c>
    </row>
    <row r="142">
      <c r="A142" s="4" t="inlineStr">
        <is>
          <t>42674</t>
        </is>
      </c>
      <c r="B142" s="5" t="inlineStr">
        <is>
          <t>Comic Book and Game Shop</t>
        </is>
      </c>
      <c r="C142" s="4" t="inlineStr">
        <is>
          <t>Friends</t>
        </is>
      </c>
      <c r="D142" s="4" t="inlineStr">
        <is>
          <t>2026-12-31</t>
        </is>
      </c>
      <c r="E142" s="4" t="inlineStr">
        <is>
          <t>TAK</t>
        </is>
      </c>
    </row>
    <row r="143">
      <c r="A143" s="6" t="inlineStr">
        <is>
          <t>42677</t>
        </is>
      </c>
      <c r="B143" s="7" t="inlineStr">
        <is>
          <t>Dog Treats Bakery</t>
        </is>
      </c>
      <c r="C143" s="6" t="inlineStr">
        <is>
          <t>Friends</t>
        </is>
      </c>
      <c r="D143" s="6" t="inlineStr">
        <is>
          <t>2026-12-31</t>
        </is>
      </c>
      <c r="E143" s="6" t="inlineStr">
        <is>
          <t>TAK</t>
        </is>
      </c>
    </row>
    <row r="144">
      <c r="A144" s="4" t="inlineStr">
        <is>
          <t>42678</t>
        </is>
      </c>
      <c r="B144" s="5" t="inlineStr">
        <is>
          <t>Pet Accessories Van</t>
        </is>
      </c>
      <c r="C144" s="4" t="inlineStr">
        <is>
          <t>Friends</t>
        </is>
      </c>
      <c r="D144" s="4" t="inlineStr">
        <is>
          <t>2026-12-31</t>
        </is>
      </c>
      <c r="E144" s="4" t="inlineStr">
        <is>
          <t>TAK</t>
        </is>
      </c>
    </row>
    <row r="145">
      <c r="A145" s="6" t="inlineStr">
        <is>
          <t>42679</t>
        </is>
      </c>
      <c r="B145" s="7" t="inlineStr">
        <is>
          <t>Heartlake City Bunny Hotel</t>
        </is>
      </c>
      <c r="C145" s="6" t="inlineStr">
        <is>
          <t>Friends</t>
        </is>
      </c>
      <c r="D145" s="6" t="inlineStr">
        <is>
          <t>2026-12-31</t>
        </is>
      </c>
      <c r="E145" s="6" t="inlineStr">
        <is>
          <t>TAK</t>
        </is>
      </c>
    </row>
    <row r="146">
      <c r="A146" s="4" t="inlineStr">
        <is>
          <t>42680</t>
        </is>
      </c>
      <c r="B146" s="5" t="inlineStr">
        <is>
          <t>Heartlake City Mini Supermarket</t>
        </is>
      </c>
      <c r="C146" s="4" t="inlineStr">
        <is>
          <t>Friends</t>
        </is>
      </c>
      <c r="D146" s="4" t="inlineStr">
        <is>
          <t>2026-12-31</t>
        </is>
      </c>
      <c r="E146" s="4" t="inlineStr">
        <is>
          <t>TAK</t>
        </is>
      </c>
    </row>
    <row r="147">
      <c r="A147" s="6" t="inlineStr">
        <is>
          <t>42685</t>
        </is>
      </c>
      <c r="B147" s="7" t="inlineStr">
        <is>
          <t>Heartlake City Fashion Show</t>
        </is>
      </c>
      <c r="C147" s="6" t="inlineStr">
        <is>
          <t>Friends</t>
        </is>
      </c>
      <c r="D147" s="6" t="inlineStr">
        <is>
          <t>2026-12-31</t>
        </is>
      </c>
      <c r="E147" s="6" t="inlineStr">
        <is>
          <t>TAK</t>
        </is>
      </c>
    </row>
    <row r="148">
      <c r="A148" s="4" t="inlineStr">
        <is>
          <t>42686</t>
        </is>
      </c>
      <c r="B148" s="5" t="inlineStr">
        <is>
          <t>Fun Indoor Playground</t>
        </is>
      </c>
      <c r="C148" s="4" t="inlineStr">
        <is>
          <t>Friends</t>
        </is>
      </c>
      <c r="D148" s="4" t="inlineStr">
        <is>
          <t>2026-12-31</t>
        </is>
      </c>
      <c r="E148" s="4" t="inlineStr">
        <is>
          <t>TAK</t>
        </is>
      </c>
    </row>
    <row r="149">
      <c r="A149" s="6" t="inlineStr">
        <is>
          <t>42689</t>
        </is>
      </c>
      <c r="B149" s="7" t="inlineStr">
        <is>
          <t>Heartlake City Friends Club House</t>
        </is>
      </c>
      <c r="C149" s="6" t="inlineStr">
        <is>
          <t>Friends</t>
        </is>
      </c>
      <c r="D149" s="6" t="inlineStr">
        <is>
          <t>2026-12-31</t>
        </is>
      </c>
      <c r="E149" s="6" t="inlineStr">
        <is>
          <t>TAK</t>
        </is>
      </c>
    </row>
    <row r="150">
      <c r="A150" s="4" t="inlineStr">
        <is>
          <t>42692</t>
        </is>
      </c>
      <c r="B150" s="5" t="inlineStr">
        <is>
          <t>Ice Cream &amp; Balloon Stand</t>
        </is>
      </c>
      <c r="C150" s="4" t="inlineStr">
        <is>
          <t>Friends</t>
        </is>
      </c>
      <c r="D150" s="4" t="inlineStr">
        <is>
          <t>2026-12-31</t>
        </is>
      </c>
      <c r="E150" s="4" t="inlineStr">
        <is>
          <t>TAK</t>
        </is>
      </c>
    </row>
    <row r="151">
      <c r="A151" s="6" t="inlineStr">
        <is>
          <t>42695</t>
        </is>
      </c>
      <c r="B151" s="7" t="inlineStr">
        <is>
          <t>Horse &amp; Baby Foal Trailer</t>
        </is>
      </c>
      <c r="C151" s="6" t="inlineStr">
        <is>
          <t>Friends</t>
        </is>
      </c>
      <c r="D151" s="6" t="inlineStr">
        <is>
          <t>2026-12-31</t>
        </is>
      </c>
      <c r="E151" s="6" t="inlineStr">
        <is>
          <t>TAK</t>
        </is>
      </c>
    </row>
    <row r="152">
      <c r="A152" s="4" t="inlineStr">
        <is>
          <t>42698</t>
        </is>
      </c>
      <c r="B152" s="5" t="inlineStr">
        <is>
          <t>LEGO Friends Advent Calendar 2026</t>
        </is>
      </c>
      <c r="C152" s="4" t="inlineStr">
        <is>
          <t>Friends</t>
        </is>
      </c>
      <c r="D152" s="4" t="inlineStr">
        <is>
          <t>2026-12-31</t>
        </is>
      </c>
      <c r="E152" s="4" t="inlineStr">
        <is>
          <t>TAK</t>
        </is>
      </c>
    </row>
    <row r="153">
      <c r="A153" s="6" t="inlineStr">
        <is>
          <t>42699</t>
        </is>
      </c>
      <c r="B153" s="7" t="inlineStr">
        <is>
          <t>Beach House with Seals</t>
        </is>
      </c>
      <c r="C153" s="6" t="inlineStr">
        <is>
          <t>Friends</t>
        </is>
      </c>
      <c r="D153" s="6" t="inlineStr">
        <is>
          <t>2026-12-31</t>
        </is>
      </c>
      <c r="E153" s="6" t="inlineStr">
        <is>
          <t>TAK</t>
        </is>
      </c>
    </row>
    <row r="154">
      <c r="A154" s="4" t="inlineStr">
        <is>
          <t>30724</t>
        </is>
      </c>
      <c r="B154" s="5" t="inlineStr">
        <is>
          <t>Dumbledore's Office with Harry Potter (Polybag)</t>
        </is>
      </c>
      <c r="C154" s="4" t="inlineStr">
        <is>
          <t>Harry Potter</t>
        </is>
      </c>
      <c r="D154" s="4" t="inlineStr">
        <is>
          <t>2026-12-31</t>
        </is>
      </c>
      <c r="E154" s="4" t="inlineStr">
        <is>
          <t>TAK</t>
        </is>
      </c>
    </row>
    <row r="155">
      <c r="A155" s="6" t="inlineStr">
        <is>
          <t>76437</t>
        </is>
      </c>
      <c r="B155" s="7" t="inlineStr">
        <is>
          <t>The Burrow: Collectors' Edition</t>
        </is>
      </c>
      <c r="C155" s="6" t="inlineStr">
        <is>
          <t>Harry Potter</t>
        </is>
      </c>
      <c r="D155" s="6" t="inlineStr">
        <is>
          <t>2026-12-31</t>
        </is>
      </c>
      <c r="E155" s="6" t="inlineStr">
        <is>
          <t>TAK</t>
        </is>
      </c>
    </row>
    <row r="156">
      <c r="A156" s="4" t="inlineStr">
        <is>
          <t>76442</t>
        </is>
      </c>
      <c r="B156" s="5" t="inlineStr">
        <is>
          <t>Hogwarts Castle: Charms Class</t>
        </is>
      </c>
      <c r="C156" s="4" t="inlineStr">
        <is>
          <t>Harry Potter</t>
        </is>
      </c>
      <c r="D156" s="4" t="inlineStr">
        <is>
          <t>2026-12-31</t>
        </is>
      </c>
      <c r="E156" s="4" t="inlineStr">
        <is>
          <t>TAK</t>
        </is>
      </c>
    </row>
    <row r="157">
      <c r="A157" s="6" t="inlineStr">
        <is>
          <t>76445</t>
        </is>
      </c>
      <c r="B157" s="7" t="inlineStr">
        <is>
          <t>Hogwarts Castle: Herbology Class</t>
        </is>
      </c>
      <c r="C157" s="6" t="inlineStr">
        <is>
          <t>Harry Potter</t>
        </is>
      </c>
      <c r="D157" s="6" t="inlineStr">
        <is>
          <t>2026-12-31</t>
        </is>
      </c>
      <c r="E157" s="6" t="inlineStr">
        <is>
          <t>TAK</t>
        </is>
      </c>
    </row>
    <row r="158">
      <c r="A158" s="4" t="inlineStr">
        <is>
          <t>76447</t>
        </is>
      </c>
      <c r="B158" s="5" t="inlineStr">
        <is>
          <t>Hogwarts Castle: Flying Lessons</t>
        </is>
      </c>
      <c r="C158" s="4" t="inlineStr">
        <is>
          <t>Harry Potter</t>
        </is>
      </c>
      <c r="D158" s="4" t="inlineStr">
        <is>
          <t>2026-12-31</t>
        </is>
      </c>
      <c r="E158" s="4" t="inlineStr">
        <is>
          <t>TAK</t>
        </is>
      </c>
    </row>
    <row r="159">
      <c r="A159" s="6" t="inlineStr">
        <is>
          <t>76449</t>
        </is>
      </c>
      <c r="B159" s="7" t="inlineStr">
        <is>
          <t>Chomping Monster Book of Monsters</t>
        </is>
      </c>
      <c r="C159" s="6" t="inlineStr">
        <is>
          <t>Harry Potter</t>
        </is>
      </c>
      <c r="D159" s="6" t="inlineStr">
        <is>
          <t>2026-12-31</t>
        </is>
      </c>
      <c r="E159" s="6" t="inlineStr">
        <is>
          <t>TAK</t>
        </is>
      </c>
    </row>
    <row r="160">
      <c r="A160" s="4" t="inlineStr">
        <is>
          <t>76450</t>
        </is>
      </c>
      <c r="B160" s="5" t="inlineStr">
        <is>
          <t>Book Nook: Hogwarts Express</t>
        </is>
      </c>
      <c r="C160" s="4" t="inlineStr">
        <is>
          <t>Harry Potter</t>
        </is>
      </c>
      <c r="D160" s="4" t="inlineStr">
        <is>
          <t>2026-12-31</t>
        </is>
      </c>
      <c r="E160" s="4" t="inlineStr">
        <is>
          <t>TAK</t>
        </is>
      </c>
    </row>
    <row r="161">
      <c r="A161" s="6" t="inlineStr">
        <is>
          <t>76451</t>
        </is>
      </c>
      <c r="B161" s="7" t="inlineStr">
        <is>
          <t>Privet Drive: Aunt Marge's Visit</t>
        </is>
      </c>
      <c r="C161" s="6" t="inlineStr">
        <is>
          <t>Harry Potter</t>
        </is>
      </c>
      <c r="D161" s="6" t="inlineStr">
        <is>
          <t>2026-12-31</t>
        </is>
      </c>
      <c r="E161" s="6" t="inlineStr">
        <is>
          <t>TAK</t>
        </is>
      </c>
    </row>
    <row r="162">
      <c r="A162" s="4" t="inlineStr">
        <is>
          <t>76452</t>
        </is>
      </c>
      <c r="B162" s="5" t="inlineStr">
        <is>
          <t>Quality Quidditch Supplies &amp; Ice Cream Parlour</t>
        </is>
      </c>
      <c r="C162" s="4" t="inlineStr">
        <is>
          <t>Harry Potter</t>
        </is>
      </c>
      <c r="D162" s="4" t="inlineStr">
        <is>
          <t>2026-12-31</t>
        </is>
      </c>
      <c r="E162" s="4" t="inlineStr">
        <is>
          <t>TAK</t>
        </is>
      </c>
    </row>
    <row r="163">
      <c r="A163" s="6" t="inlineStr">
        <is>
          <t>76458</t>
        </is>
      </c>
      <c r="B163" s="7" t="inlineStr">
        <is>
          <t>Thestral Family</t>
        </is>
      </c>
      <c r="C163" s="6" t="inlineStr">
        <is>
          <t>Harry Potter</t>
        </is>
      </c>
      <c r="D163" s="6" t="inlineStr">
        <is>
          <t>2026-12-31</t>
        </is>
      </c>
      <c r="E163" s="6" t="inlineStr">
        <is>
          <t>TAK</t>
        </is>
      </c>
    </row>
    <row r="164">
      <c r="A164" s="4" t="inlineStr">
        <is>
          <t>76467</t>
        </is>
      </c>
      <c r="B164" s="5" t="inlineStr">
        <is>
          <t>Luna Lovegood's House</t>
        </is>
      </c>
      <c r="C164" s="4" t="inlineStr">
        <is>
          <t>Harry Potter</t>
        </is>
      </c>
      <c r="D164" s="4" t="inlineStr">
        <is>
          <t>2026-12-31</t>
        </is>
      </c>
      <c r="E164" s="4" t="inlineStr">
        <is>
          <t>TAK</t>
        </is>
      </c>
    </row>
    <row r="165">
      <c r="A165" s="6" t="inlineStr">
        <is>
          <t>76470</t>
        </is>
      </c>
      <c r="B165" s="7" t="inlineStr">
        <is>
          <t>Enchanted Flying Ford Anglia</t>
        </is>
      </c>
      <c r="C165" s="6" t="inlineStr">
        <is>
          <t>Harry Potter</t>
        </is>
      </c>
      <c r="D165" s="6" t="inlineStr">
        <is>
          <t>2026-12-31</t>
        </is>
      </c>
      <c r="E165" s="6" t="inlineStr">
        <is>
          <t>TAK</t>
        </is>
      </c>
    </row>
    <row r="166">
      <c r="A166" s="4" t="inlineStr">
        <is>
          <t>77037</t>
        </is>
      </c>
      <c r="B166" s="5" t="inlineStr">
        <is>
          <t>Aloy &amp; Varl vs. Shell-Walker &amp; Sawtooth</t>
        </is>
      </c>
      <c r="C166" s="4" t="inlineStr">
        <is>
          <t>Horizon</t>
        </is>
      </c>
      <c r="D166" s="4" t="inlineStr">
        <is>
          <t>2026-12-31</t>
        </is>
      </c>
      <c r="E166" s="4" t="inlineStr">
        <is>
          <t>TAK</t>
        </is>
      </c>
    </row>
    <row r="167">
      <c r="A167" s="6" t="inlineStr">
        <is>
          <t>10309</t>
        </is>
      </c>
      <c r="B167" s="7" t="inlineStr">
        <is>
          <t>Succulents</t>
        </is>
      </c>
      <c r="C167" s="6" t="inlineStr">
        <is>
          <t>Icons</t>
        </is>
      </c>
      <c r="D167" s="6" t="inlineStr">
        <is>
          <t>2026-12-31</t>
        </is>
      </c>
      <c r="E167" s="6" t="inlineStr">
        <is>
          <t>TAK</t>
        </is>
      </c>
    </row>
    <row r="168">
      <c r="A168" s="4" t="inlineStr">
        <is>
          <t>10315</t>
        </is>
      </c>
      <c r="B168" s="5" t="inlineStr">
        <is>
          <t>Tranquil Garden</t>
        </is>
      </c>
      <c r="C168" s="4" t="inlineStr">
        <is>
          <t>Icons</t>
        </is>
      </c>
      <c r="D168" s="4" t="inlineStr">
        <is>
          <t>2026-12-31</t>
        </is>
      </c>
      <c r="E168" s="4" t="inlineStr">
        <is>
          <t>TAK</t>
        </is>
      </c>
    </row>
    <row r="169">
      <c r="A169" s="6" t="inlineStr">
        <is>
          <t>10326</t>
        </is>
      </c>
      <c r="B169" s="7" t="inlineStr">
        <is>
          <t>Natural History Museum</t>
        </is>
      </c>
      <c r="C169" s="6" t="inlineStr">
        <is>
          <t>Icons</t>
        </is>
      </c>
      <c r="D169" s="6" t="inlineStr">
        <is>
          <t>2026-12-31</t>
        </is>
      </c>
      <c r="E169" s="6" t="inlineStr">
        <is>
          <t>TAK</t>
        </is>
      </c>
    </row>
    <row r="170">
      <c r="A170" s="4" t="inlineStr">
        <is>
          <t>10335</t>
        </is>
      </c>
      <c r="B170" s="5" t="inlineStr">
        <is>
          <t>The Endurance</t>
        </is>
      </c>
      <c r="C170" s="4" t="inlineStr">
        <is>
          <t>Icons</t>
        </is>
      </c>
      <c r="D170" s="4" t="inlineStr">
        <is>
          <t>2026-12-31</t>
        </is>
      </c>
      <c r="E170" s="4" t="inlineStr">
        <is>
          <t>TAK</t>
        </is>
      </c>
    </row>
    <row r="171">
      <c r="A171" s="6" t="inlineStr">
        <is>
          <t>10337</t>
        </is>
      </c>
      <c r="B171" s="7" t="inlineStr">
        <is>
          <t>Lamborghini Countach 5000 Quattrovalvole</t>
        </is>
      </c>
      <c r="C171" s="6" t="inlineStr">
        <is>
          <t>Icons</t>
        </is>
      </c>
      <c r="D171" s="6" t="inlineStr">
        <is>
          <t>2026-12-31</t>
        </is>
      </c>
      <c r="E171" s="6" t="inlineStr">
        <is>
          <t>TAK</t>
        </is>
      </c>
    </row>
    <row r="172">
      <c r="A172" s="4" t="inlineStr">
        <is>
          <t>10340</t>
        </is>
      </c>
      <c r="B172" s="5" t="inlineStr">
        <is>
          <t>Wreath</t>
        </is>
      </c>
      <c r="C172" s="4" t="inlineStr">
        <is>
          <t>Icons</t>
        </is>
      </c>
      <c r="D172" s="4" t="inlineStr">
        <is>
          <t>2026-12-31</t>
        </is>
      </c>
      <c r="E172" s="4" t="inlineStr">
        <is>
          <t>TAK</t>
        </is>
      </c>
    </row>
    <row r="173">
      <c r="A173" s="6" t="inlineStr">
        <is>
          <t>10341</t>
        </is>
      </c>
      <c r="B173" s="7" t="inlineStr">
        <is>
          <t>NASA: Artemis Space Launch System</t>
        </is>
      </c>
      <c r="C173" s="6" t="inlineStr">
        <is>
          <t>Icons</t>
        </is>
      </c>
      <c r="D173" s="6" t="inlineStr">
        <is>
          <t>2026-12-31</t>
        </is>
      </c>
      <c r="E173" s="6" t="inlineStr">
        <is>
          <t>TAK</t>
        </is>
      </c>
    </row>
    <row r="174">
      <c r="A174" s="4" t="inlineStr">
        <is>
          <t>10351</t>
        </is>
      </c>
      <c r="B174" s="5" t="inlineStr">
        <is>
          <t>Sherlock Holmes: Book Nook</t>
        </is>
      </c>
      <c r="C174" s="4" t="inlineStr">
        <is>
          <t>Icons</t>
        </is>
      </c>
      <c r="D174" s="4" t="inlineStr">
        <is>
          <t>2026-12-31</t>
        </is>
      </c>
      <c r="E174" s="4" t="inlineStr">
        <is>
          <t>TAK</t>
        </is>
      </c>
    </row>
    <row r="175">
      <c r="A175" s="6" t="inlineStr">
        <is>
          <t>10353</t>
        </is>
      </c>
      <c r="B175" s="7" t="inlineStr">
        <is>
          <t>Williams Racing FW14B &amp; Nigel Mansell</t>
        </is>
      </c>
      <c r="C175" s="6" t="inlineStr">
        <is>
          <t>Icons</t>
        </is>
      </c>
      <c r="D175" s="6" t="inlineStr">
        <is>
          <t>2026-12-31</t>
        </is>
      </c>
      <c r="E175" s="6" t="inlineStr">
        <is>
          <t>TAK</t>
        </is>
      </c>
    </row>
    <row r="176">
      <c r="A176" s="4" t="inlineStr">
        <is>
          <t>10363</t>
        </is>
      </c>
      <c r="B176" s="5" t="inlineStr">
        <is>
          <t>Leonardo da Vinci's Flying Machine</t>
        </is>
      </c>
      <c r="C176" s="4" t="inlineStr">
        <is>
          <t>Icons</t>
        </is>
      </c>
      <c r="D176" s="4" t="inlineStr">
        <is>
          <t>2026-12-31</t>
        </is>
      </c>
      <c r="E176" s="4" t="inlineStr">
        <is>
          <t>TAK</t>
        </is>
      </c>
    </row>
    <row r="177">
      <c r="A177" s="6" t="inlineStr">
        <is>
          <t>10370</t>
        </is>
      </c>
      <c r="B177" s="7" t="inlineStr">
        <is>
          <t>Poinsettia</t>
        </is>
      </c>
      <c r="C177" s="6" t="inlineStr">
        <is>
          <t>Icons</t>
        </is>
      </c>
      <c r="D177" s="6" t="inlineStr">
        <is>
          <t>2026-12-31</t>
        </is>
      </c>
      <c r="E177" s="6" t="inlineStr">
        <is>
          <t>TAK</t>
        </is>
      </c>
    </row>
    <row r="178">
      <c r="A178" s="4" t="inlineStr">
        <is>
          <t>40516</t>
        </is>
      </c>
      <c r="B178" s="5" t="inlineStr">
        <is>
          <t>Everyone is Awesome</t>
        </is>
      </c>
      <c r="C178" s="4" t="inlineStr">
        <is>
          <t>Icons</t>
        </is>
      </c>
      <c r="D178" s="4" t="inlineStr">
        <is>
          <t>2026-12-31</t>
        </is>
      </c>
      <c r="E178" s="4" t="inlineStr">
        <is>
          <t>TAK</t>
        </is>
      </c>
    </row>
    <row r="179">
      <c r="A179" s="6" t="inlineStr">
        <is>
          <t>21323</t>
        </is>
      </c>
      <c r="B179" s="7" t="inlineStr">
        <is>
          <t>Grand Piano</t>
        </is>
      </c>
      <c r="C179" s="6" t="inlineStr">
        <is>
          <t>Ideas</t>
        </is>
      </c>
      <c r="D179" s="6" t="inlineStr">
        <is>
          <t>2026-12-31</t>
        </is>
      </c>
      <c r="E179" s="6" t="inlineStr">
        <is>
          <t>TAK</t>
        </is>
      </c>
    </row>
    <row r="180">
      <c r="A180" s="4" t="inlineStr">
        <is>
          <t>21333</t>
        </is>
      </c>
      <c r="B180" s="5" t="inlineStr">
        <is>
          <t>Vincent van Gogh - The Starry Night</t>
        </is>
      </c>
      <c r="C180" s="4" t="inlineStr">
        <is>
          <t>Ideas</t>
        </is>
      </c>
      <c r="D180" s="4" t="inlineStr">
        <is>
          <t>2026-12-31</t>
        </is>
      </c>
      <c r="E180" s="4" t="inlineStr">
        <is>
          <t>TAK</t>
        </is>
      </c>
    </row>
    <row r="181">
      <c r="A181" s="6" t="inlineStr">
        <is>
          <t>21345</t>
        </is>
      </c>
      <c r="B181" s="7" t="inlineStr">
        <is>
          <t>Polaroid OneStep SX-70 Camera</t>
        </is>
      </c>
      <c r="C181" s="6" t="inlineStr">
        <is>
          <t>Ideas</t>
        </is>
      </c>
      <c r="D181" s="6" t="inlineStr">
        <is>
          <t>2026-12-31</t>
        </is>
      </c>
      <c r="E181" s="6" t="inlineStr">
        <is>
          <t>TAK</t>
        </is>
      </c>
    </row>
    <row r="182">
      <c r="A182" s="4" t="inlineStr">
        <is>
          <t>21351</t>
        </is>
      </c>
      <c r="B182" s="5" t="inlineStr">
        <is>
          <t>Tim Burton's The Nightmare Before Christmas</t>
        </is>
      </c>
      <c r="C182" s="4" t="inlineStr">
        <is>
          <t>Ideas</t>
        </is>
      </c>
      <c r="D182" s="4" t="inlineStr">
        <is>
          <t>2026-12-31</t>
        </is>
      </c>
      <c r="E182" s="4" t="inlineStr">
        <is>
          <t>TAK</t>
        </is>
      </c>
    </row>
    <row r="183">
      <c r="A183" s="6" t="inlineStr">
        <is>
          <t>21353</t>
        </is>
      </c>
      <c r="B183" s="7" t="inlineStr">
        <is>
          <t>The Botanical Garden</t>
        </is>
      </c>
      <c r="C183" s="6" t="inlineStr">
        <is>
          <t>Ideas</t>
        </is>
      </c>
      <c r="D183" s="6" t="inlineStr">
        <is>
          <t>2026-12-31</t>
        </is>
      </c>
      <c r="E183" s="6" t="inlineStr">
        <is>
          <t>TAK</t>
        </is>
      </c>
    </row>
    <row r="184">
      <c r="A184" s="4" t="inlineStr">
        <is>
          <t>21355</t>
        </is>
      </c>
      <c r="B184" s="5" t="inlineStr">
        <is>
          <t>The Evolution of STEM</t>
        </is>
      </c>
      <c r="C184" s="4" t="inlineStr">
        <is>
          <t>Ideas</t>
        </is>
      </c>
      <c r="D184" s="4" t="inlineStr">
        <is>
          <t>2026-12-31</t>
        </is>
      </c>
      <c r="E184" s="4" t="inlineStr">
        <is>
          <t>TAK</t>
        </is>
      </c>
    </row>
    <row r="185">
      <c r="A185" s="6" t="inlineStr">
        <is>
          <t>21356</t>
        </is>
      </c>
      <c r="B185" s="7" t="inlineStr">
        <is>
          <t>River Steamboat</t>
        </is>
      </c>
      <c r="C185" s="6" t="inlineStr">
        <is>
          <t>Ideas</t>
        </is>
      </c>
      <c r="D185" s="6" t="inlineStr">
        <is>
          <t>2026-12-31</t>
        </is>
      </c>
      <c r="E185" s="6" t="inlineStr">
        <is>
          <t>TAK</t>
        </is>
      </c>
    </row>
    <row r="186">
      <c r="A186" s="4" t="inlineStr">
        <is>
          <t>21360</t>
        </is>
      </c>
      <c r="B186" s="5" t="inlineStr">
        <is>
          <t>Willy Wonka &amp; the Chocolate Factory</t>
        </is>
      </c>
      <c r="C186" s="4" t="inlineStr">
        <is>
          <t>Ideas</t>
        </is>
      </c>
      <c r="D186" s="4" t="inlineStr">
        <is>
          <t>2026-12-31</t>
        </is>
      </c>
      <c r="E186" s="4" t="inlineStr">
        <is>
          <t>TAK</t>
        </is>
      </c>
    </row>
    <row r="187">
      <c r="A187" s="6" t="inlineStr">
        <is>
          <t>76969</t>
        </is>
      </c>
      <c r="B187" s="7" t="inlineStr">
        <is>
          <t>Dinosaur Fossils: Triceratops Skull</t>
        </is>
      </c>
      <c r="C187" s="6" t="inlineStr">
        <is>
          <t>Jurassic</t>
        </is>
      </c>
      <c r="D187" s="6" t="inlineStr">
        <is>
          <t>2026-12-31</t>
        </is>
      </c>
      <c r="E187" s="6" t="inlineStr">
        <is>
          <t>TAK</t>
        </is>
      </c>
    </row>
    <row r="188">
      <c r="A188" s="4" t="inlineStr">
        <is>
          <t>76972</t>
        </is>
      </c>
      <c r="B188" s="5" t="inlineStr">
        <is>
          <t>Raptor Off-Road Escape</t>
        </is>
      </c>
      <c r="C188" s="4" t="inlineStr">
        <is>
          <t>Jurassic</t>
        </is>
      </c>
      <c r="D188" s="4" t="inlineStr">
        <is>
          <t>2026-12-31</t>
        </is>
      </c>
      <c r="E188" s="4" t="inlineStr">
        <is>
          <t>TAK</t>
        </is>
      </c>
    </row>
    <row r="189">
      <c r="A189" s="6" t="inlineStr">
        <is>
          <t>76974</t>
        </is>
      </c>
      <c r="B189" s="7" t="inlineStr">
        <is>
          <t>Brick-Built Mosasaurus Boat Mission</t>
        </is>
      </c>
      <c r="C189" s="6" t="inlineStr">
        <is>
          <t>Jurassic</t>
        </is>
      </c>
      <c r="D189" s="6" t="inlineStr">
        <is>
          <t>2026-12-31</t>
        </is>
      </c>
      <c r="E189" s="6" t="inlineStr">
        <is>
          <t>TAK</t>
        </is>
      </c>
    </row>
    <row r="190">
      <c r="A190" s="4" t="inlineStr">
        <is>
          <t>71440</t>
        </is>
      </c>
      <c r="B190" s="5" t="inlineStr">
        <is>
          <t>Adventures with Interactive LEGO Luigi</t>
        </is>
      </c>
      <c r="C190" s="4" t="inlineStr">
        <is>
          <t>Mario</t>
        </is>
      </c>
      <c r="D190" s="4" t="inlineStr">
        <is>
          <t>2026-12-31</t>
        </is>
      </c>
      <c r="E190" s="4" t="inlineStr">
        <is>
          <t>TAK</t>
        </is>
      </c>
    </row>
    <row r="191">
      <c r="A191" s="6" t="inlineStr">
        <is>
          <t>71441</t>
        </is>
      </c>
      <c r="B191" s="7" t="inlineStr">
        <is>
          <t>Adventures with Interactive LEGO Peach</t>
        </is>
      </c>
      <c r="C191" s="6" t="inlineStr">
        <is>
          <t>Mario</t>
        </is>
      </c>
      <c r="D191" s="6" t="inlineStr">
        <is>
          <t>2026-12-31</t>
        </is>
      </c>
      <c r="E191" s="6" t="inlineStr">
        <is>
          <t>TAK</t>
        </is>
      </c>
    </row>
    <row r="192">
      <c r="A192" s="4" t="inlineStr">
        <is>
          <t>72043</t>
        </is>
      </c>
      <c r="B192" s="5" t="inlineStr">
        <is>
          <t>Interactive LEGO Mario &amp; Standard Kart</t>
        </is>
      </c>
      <c r="C192" s="4" t="inlineStr">
        <is>
          <t>Mario</t>
        </is>
      </c>
      <c r="D192" s="4" t="inlineStr">
        <is>
          <t>2026-12-31</t>
        </is>
      </c>
      <c r="E192" s="4" t="inlineStr">
        <is>
          <t>TAK</t>
        </is>
      </c>
    </row>
    <row r="193">
      <c r="A193" s="6" t="inlineStr">
        <is>
          <t>72045</t>
        </is>
      </c>
      <c r="B193" s="7" t="inlineStr">
        <is>
          <t>Shy Guy &amp; P-Wing</t>
        </is>
      </c>
      <c r="C193" s="6" t="inlineStr">
        <is>
          <t>Mario</t>
        </is>
      </c>
      <c r="D193" s="6" t="inlineStr">
        <is>
          <t>2026-12-31</t>
        </is>
      </c>
      <c r="E193" s="6" t="inlineStr">
        <is>
          <t>TAK</t>
        </is>
      </c>
    </row>
    <row r="194">
      <c r="A194" s="4" t="inlineStr">
        <is>
          <t>11198</t>
        </is>
      </c>
      <c r="B194" s="5" t="inlineStr">
        <is>
          <t>Spin and Electro Dinosaur Vehicle Chase</t>
        </is>
      </c>
      <c r="C194" s="4" t="inlineStr">
        <is>
          <t>Marvel</t>
        </is>
      </c>
      <c r="D194" s="4" t="inlineStr">
        <is>
          <t>2026-12-31</t>
        </is>
      </c>
      <c r="E194" s="4" t="inlineStr">
        <is>
          <t>TAK</t>
        </is>
      </c>
    </row>
    <row r="195">
      <c r="A195" s="6" t="inlineStr">
        <is>
          <t>11200</t>
        </is>
      </c>
      <c r="B195" s="7" t="inlineStr">
        <is>
          <t>Spidey and Gobby's Raptor Battle at Tree House HQ</t>
        </is>
      </c>
      <c r="C195" s="6" t="inlineStr">
        <is>
          <t>Marvel</t>
        </is>
      </c>
      <c r="D195" s="6" t="inlineStr">
        <is>
          <t>2026-12-31</t>
        </is>
      </c>
      <c r="E195" s="6" t="inlineStr">
        <is>
          <t>TAK</t>
        </is>
      </c>
    </row>
    <row r="196">
      <c r="A196" s="4" t="inlineStr">
        <is>
          <t>11207</t>
        </is>
      </c>
      <c r="B196" s="5" t="inlineStr">
        <is>
          <t>Spidey: Underwater Vehicles</t>
        </is>
      </c>
      <c r="C196" s="4" t="inlineStr">
        <is>
          <t>Marvel</t>
        </is>
      </c>
      <c r="D196" s="4" t="inlineStr">
        <is>
          <t>2026-12-31</t>
        </is>
      </c>
      <c r="E196" s="4" t="inlineStr">
        <is>
          <t>TAK</t>
        </is>
      </c>
    </row>
    <row r="197">
      <c r="A197" s="6" t="inlineStr">
        <is>
          <t>30725</t>
        </is>
      </c>
      <c r="B197" s="7" t="inlineStr">
        <is>
          <t>Spider-Man vs. Anti-Venom Heist (Polybag)</t>
        </is>
      </c>
      <c r="C197" s="6" t="inlineStr">
        <is>
          <t>Marvel</t>
        </is>
      </c>
      <c r="D197" s="6" t="inlineStr">
        <is>
          <t>2026-12-31</t>
        </is>
      </c>
      <c r="E197" s="6" t="inlineStr">
        <is>
          <t>TAK</t>
        </is>
      </c>
    </row>
    <row r="198">
      <c r="A198" s="4" t="inlineStr">
        <is>
          <t>76294</t>
        </is>
      </c>
      <c r="B198" s="5" t="inlineStr">
        <is>
          <t>X-Men: The X-Mansion</t>
        </is>
      </c>
      <c r="C198" s="4" t="inlineStr">
        <is>
          <t>Marvel</t>
        </is>
      </c>
      <c r="D198" s="4" t="inlineStr">
        <is>
          <t>2026-12-31</t>
        </is>
      </c>
      <c r="E198" s="4" t="inlineStr">
        <is>
          <t>TAK</t>
        </is>
      </c>
    </row>
    <row r="199">
      <c r="A199" s="6" t="inlineStr">
        <is>
          <t>76307</t>
        </is>
      </c>
      <c r="B199" s="7" t="inlineStr">
        <is>
          <t>Iron Man Mech vs. Ultron</t>
        </is>
      </c>
      <c r="C199" s="6" t="inlineStr">
        <is>
          <t>Marvel</t>
        </is>
      </c>
      <c r="D199" s="6" t="inlineStr">
        <is>
          <t>2026-12-31</t>
        </is>
      </c>
      <c r="E199" s="6" t="inlineStr">
        <is>
          <t>TAK</t>
        </is>
      </c>
    </row>
    <row r="200">
      <c r="A200" s="4" t="inlineStr">
        <is>
          <t>76308</t>
        </is>
      </c>
      <c r="B200" s="5" t="inlineStr">
        <is>
          <t>Spider-Man Mech vs. Anti-Venom</t>
        </is>
      </c>
      <c r="C200" s="4" t="inlineStr">
        <is>
          <t>Marvel</t>
        </is>
      </c>
      <c r="D200" s="4" t="inlineStr">
        <is>
          <t>2026-12-31</t>
        </is>
      </c>
      <c r="E200" s="4" t="inlineStr">
        <is>
          <t>TAK</t>
        </is>
      </c>
    </row>
    <row r="201">
      <c r="A201" s="6" t="inlineStr">
        <is>
          <t>76309</t>
        </is>
      </c>
      <c r="B201" s="7" t="inlineStr">
        <is>
          <t>Spider-Man vs. Venom Muscle Car</t>
        </is>
      </c>
      <c r="C201" s="6" t="inlineStr">
        <is>
          <t>Marvel</t>
        </is>
      </c>
      <c r="D201" s="6" t="inlineStr">
        <is>
          <t>2026-12-31</t>
        </is>
      </c>
      <c r="E201" s="6" t="inlineStr">
        <is>
          <t>TAK</t>
        </is>
      </c>
    </row>
    <row r="202">
      <c r="A202" s="4" t="inlineStr">
        <is>
          <t>76313</t>
        </is>
      </c>
      <c r="B202" s="5" t="inlineStr">
        <is>
          <t>MARVEL Logo</t>
        </is>
      </c>
      <c r="C202" s="4" t="inlineStr">
        <is>
          <t>Marvel</t>
        </is>
      </c>
      <c r="D202" s="4" t="inlineStr">
        <is>
          <t>2026-12-31</t>
        </is>
      </c>
      <c r="E202" s="4" t="inlineStr">
        <is>
          <t>TAK</t>
        </is>
      </c>
    </row>
    <row r="203">
      <c r="A203" s="6" t="inlineStr">
        <is>
          <t>76315</t>
        </is>
      </c>
      <c r="B203" s="7" t="inlineStr">
        <is>
          <t>Iron Man's Laboratory: Hall of Armor</t>
        </is>
      </c>
      <c r="C203" s="6" t="inlineStr">
        <is>
          <t>Marvel</t>
        </is>
      </c>
      <c r="D203" s="6" t="inlineStr">
        <is>
          <t>2026-12-31</t>
        </is>
      </c>
      <c r="E203" s="6" t="inlineStr">
        <is>
          <t>TAK</t>
        </is>
      </c>
    </row>
    <row r="204">
      <c r="A204" s="4" t="inlineStr">
        <is>
          <t>76316</t>
        </is>
      </c>
      <c r="B204" s="5" t="inlineStr">
        <is>
          <t>Fantastic Four vs. Galactus Construction Figure</t>
        </is>
      </c>
      <c r="C204" s="4" t="inlineStr">
        <is>
          <t>Marvel</t>
        </is>
      </c>
      <c r="D204" s="4" t="inlineStr">
        <is>
          <t>2026-12-31</t>
        </is>
      </c>
      <c r="E204" s="4" t="inlineStr">
        <is>
          <t>TAK</t>
        </is>
      </c>
    </row>
    <row r="205">
      <c r="A205" s="6" t="inlineStr">
        <is>
          <t>76317</t>
        </is>
      </c>
      <c r="B205" s="7" t="inlineStr">
        <is>
          <t>Peter Parker's Apartment</t>
        </is>
      </c>
      <c r="C205" s="6" t="inlineStr">
        <is>
          <t>Marvel</t>
        </is>
      </c>
      <c r="D205" s="6" t="inlineStr">
        <is>
          <t>2026-12-31</t>
        </is>
      </c>
      <c r="E205" s="6" t="inlineStr">
        <is>
          <t>TAK</t>
        </is>
      </c>
    </row>
    <row r="206">
      <c r="A206" s="4" t="inlineStr">
        <is>
          <t>76319</t>
        </is>
      </c>
      <c r="B206" s="5" t="inlineStr">
        <is>
          <t>Captain America vs. Thanos</t>
        </is>
      </c>
      <c r="C206" s="4" t="inlineStr">
        <is>
          <t>Marvel</t>
        </is>
      </c>
      <c r="D206" s="4" t="inlineStr">
        <is>
          <t>2026-12-31</t>
        </is>
      </c>
      <c r="E206" s="4" t="inlineStr">
        <is>
          <t>TAK</t>
        </is>
      </c>
    </row>
    <row r="207">
      <c r="A207" s="6" t="inlineStr">
        <is>
          <t>76320</t>
        </is>
      </c>
      <c r="B207" s="7" t="inlineStr">
        <is>
          <t>Iron Man &amp; War Machine vs. Hammer Drones</t>
        </is>
      </c>
      <c r="C207" s="6" t="inlineStr">
        <is>
          <t>Marvel</t>
        </is>
      </c>
      <c r="D207" s="6" t="inlineStr">
        <is>
          <t>2026-12-31</t>
        </is>
      </c>
      <c r="E207" s="6" t="inlineStr">
        <is>
          <t>TAK</t>
        </is>
      </c>
    </row>
    <row r="208">
      <c r="A208" s="4" t="inlineStr">
        <is>
          <t>76321</t>
        </is>
      </c>
      <c r="B208" s="5" t="inlineStr">
        <is>
          <t>Spider-Man vs. Doc Ock Subway Train Scene</t>
        </is>
      </c>
      <c r="C208" s="4" t="inlineStr">
        <is>
          <t>Marvel</t>
        </is>
      </c>
      <c r="D208" s="4" t="inlineStr">
        <is>
          <t>2026-12-31</t>
        </is>
      </c>
      <c r="E208" s="4" t="inlineStr">
        <is>
          <t>TAK</t>
        </is>
      </c>
    </row>
    <row r="209">
      <c r="A209" s="6" t="inlineStr">
        <is>
          <t>76322</t>
        </is>
      </c>
      <c r="B209" s="7" t="inlineStr">
        <is>
          <t>Avengers: Endgame Thor vs. Chitauri</t>
        </is>
      </c>
      <c r="C209" s="6" t="inlineStr">
        <is>
          <t>Marvel</t>
        </is>
      </c>
      <c r="D209" s="6" t="inlineStr">
        <is>
          <t>2026-12-31</t>
        </is>
      </c>
      <c r="E209" s="6" t="inlineStr">
        <is>
          <t>TAK</t>
        </is>
      </c>
    </row>
    <row r="210">
      <c r="A210" s="4" t="inlineStr">
        <is>
          <t>76323</t>
        </is>
      </c>
      <c r="B210" s="5" t="inlineStr">
        <is>
          <t>Avengers: Endgame Final Battle</t>
        </is>
      </c>
      <c r="C210" s="4" t="inlineStr">
        <is>
          <t>Marvel</t>
        </is>
      </c>
      <c r="D210" s="4" t="inlineStr">
        <is>
          <t>2026-12-31</t>
        </is>
      </c>
      <c r="E210" s="4" t="inlineStr">
        <is>
          <t>TAK</t>
        </is>
      </c>
    </row>
    <row r="211">
      <c r="A211" s="6" t="inlineStr">
        <is>
          <t>76324</t>
        </is>
      </c>
      <c r="B211" s="7" t="inlineStr">
        <is>
          <t>Spider-Man vs. Oscorp</t>
        </is>
      </c>
      <c r="C211" s="6" t="inlineStr">
        <is>
          <t>Marvel</t>
        </is>
      </c>
      <c r="D211" s="6" t="inlineStr">
        <is>
          <t>2026-12-31</t>
        </is>
      </c>
      <c r="E211" s="6" t="inlineStr">
        <is>
          <t>TAK</t>
        </is>
      </c>
    </row>
    <row r="212">
      <c r="A212" s="4" t="inlineStr">
        <is>
          <t>76325</t>
        </is>
      </c>
      <c r="B212" s="5" t="inlineStr">
        <is>
          <t>Avengers: Age of Ultron Quinjet</t>
        </is>
      </c>
      <c r="C212" s="4" t="inlineStr">
        <is>
          <t>Marvel</t>
        </is>
      </c>
      <c r="D212" s="4" t="inlineStr">
        <is>
          <t>2026-12-31</t>
        </is>
      </c>
      <c r="E212" s="4" t="inlineStr">
        <is>
          <t>TAK</t>
        </is>
      </c>
    </row>
    <row r="213">
      <c r="A213" s="6" t="inlineStr">
        <is>
          <t>76326</t>
        </is>
      </c>
      <c r="B213" s="7" t="inlineStr">
        <is>
          <t>Iron Spider-Man Bust</t>
        </is>
      </c>
      <c r="C213" s="6" t="inlineStr">
        <is>
          <t>Marvel</t>
        </is>
      </c>
      <c r="D213" s="6" t="inlineStr">
        <is>
          <t>2026-12-31</t>
        </is>
      </c>
      <c r="E213" s="6" t="inlineStr">
        <is>
          <t>TAK</t>
        </is>
      </c>
    </row>
    <row r="214">
      <c r="A214" s="4" t="inlineStr">
        <is>
          <t>76327</t>
        </is>
      </c>
      <c r="B214" s="5" t="inlineStr">
        <is>
          <t>Iron Man MK4 Bust</t>
        </is>
      </c>
      <c r="C214" s="4" t="inlineStr">
        <is>
          <t>Marvel</t>
        </is>
      </c>
      <c r="D214" s="4" t="inlineStr">
        <is>
          <t>2026-12-31</t>
        </is>
      </c>
      <c r="E214" s="4" t="inlineStr">
        <is>
          <t>TAK</t>
        </is>
      </c>
    </row>
    <row r="215">
      <c r="A215" s="6" t="inlineStr">
        <is>
          <t>76329</t>
        </is>
      </c>
      <c r="B215" s="7" t="inlineStr">
        <is>
          <t>Miles Morales' Mask</t>
        </is>
      </c>
      <c r="C215" s="6" t="inlineStr">
        <is>
          <t>Marvel</t>
        </is>
      </c>
      <c r="D215" s="6" t="inlineStr">
        <is>
          <t>2026-12-31</t>
        </is>
      </c>
      <c r="E215" s="6" t="inlineStr">
        <is>
          <t>TAK</t>
        </is>
      </c>
    </row>
    <row r="216">
      <c r="A216" s="4" t="inlineStr">
        <is>
          <t>76340</t>
        </is>
      </c>
      <c r="B216" s="5" t="inlineStr">
        <is>
          <t>LEGO Marvel Advent Calendar 2026</t>
        </is>
      </c>
      <c r="C216" s="4" t="inlineStr">
        <is>
          <t>Marvel</t>
        </is>
      </c>
      <c r="D216" s="4" t="inlineStr">
        <is>
          <t>2026-12-31</t>
        </is>
      </c>
      <c r="E216" s="4" t="inlineStr">
        <is>
          <t>TAK</t>
        </is>
      </c>
    </row>
    <row r="217">
      <c r="A217" s="6" t="inlineStr">
        <is>
          <t>21266</t>
        </is>
      </c>
      <c r="B217" s="7" t="inlineStr">
        <is>
          <t>The Nether Lava Battle</t>
        </is>
      </c>
      <c r="C217" s="6" t="inlineStr">
        <is>
          <t>Minecraft</t>
        </is>
      </c>
      <c r="D217" s="6" t="inlineStr">
        <is>
          <t>2026-12-31</t>
        </is>
      </c>
      <c r="E217" s="6" t="inlineStr">
        <is>
          <t>TAK</t>
        </is>
      </c>
    </row>
    <row r="218">
      <c r="A218" s="4" t="inlineStr">
        <is>
          <t>21267</t>
        </is>
      </c>
      <c r="B218" s="5" t="inlineStr">
        <is>
          <t>The Illager Desert Patrol</t>
        </is>
      </c>
      <c r="C218" s="4" t="inlineStr">
        <is>
          <t>Minecraft</t>
        </is>
      </c>
      <c r="D218" s="4" t="inlineStr">
        <is>
          <t>2026-12-31</t>
        </is>
      </c>
      <c r="E218" s="4" t="inlineStr">
        <is>
          <t>TAK</t>
        </is>
      </c>
    </row>
    <row r="219">
      <c r="A219" s="6" t="inlineStr">
        <is>
          <t>21268</t>
        </is>
      </c>
      <c r="B219" s="7" t="inlineStr">
        <is>
          <t>The Baby Pig House</t>
        </is>
      </c>
      <c r="C219" s="6" t="inlineStr">
        <is>
          <t>Minecraft</t>
        </is>
      </c>
      <c r="D219" s="6" t="inlineStr">
        <is>
          <t>2026-12-31</t>
        </is>
      </c>
      <c r="E219" s="6" t="inlineStr">
        <is>
          <t>TAK</t>
        </is>
      </c>
    </row>
    <row r="220">
      <c r="A220" s="4" t="inlineStr">
        <is>
          <t>21269</t>
        </is>
      </c>
      <c r="B220" s="5" t="inlineStr">
        <is>
          <t>The Armadillo Mine Expedition</t>
        </is>
      </c>
      <c r="C220" s="4" t="inlineStr">
        <is>
          <t>Minecraft</t>
        </is>
      </c>
      <c r="D220" s="4" t="inlineStr">
        <is>
          <t>2026-12-31</t>
        </is>
      </c>
      <c r="E220" s="4" t="inlineStr">
        <is>
          <t>TAK</t>
        </is>
      </c>
    </row>
    <row r="221">
      <c r="A221" s="6" t="inlineStr">
        <is>
          <t>21270</t>
        </is>
      </c>
      <c r="B221" s="7" t="inlineStr">
        <is>
          <t>The Mooshroom House</t>
        </is>
      </c>
      <c r="C221" s="6" t="inlineStr">
        <is>
          <t>Minecraft</t>
        </is>
      </c>
      <c r="D221" s="6" t="inlineStr">
        <is>
          <t>2026-12-31</t>
        </is>
      </c>
      <c r="E221" s="6" t="inlineStr">
        <is>
          <t>TAK</t>
        </is>
      </c>
    </row>
    <row r="222">
      <c r="A222" s="4" t="inlineStr">
        <is>
          <t>21272</t>
        </is>
      </c>
      <c r="B222" s="5" t="inlineStr">
        <is>
          <t>Woodland Mansion Fighting Ring</t>
        </is>
      </c>
      <c r="C222" s="4" t="inlineStr">
        <is>
          <t>Minecraft</t>
        </is>
      </c>
      <c r="D222" s="4" t="inlineStr">
        <is>
          <t>2026-12-31</t>
        </is>
      </c>
      <c r="E222" s="4" t="inlineStr">
        <is>
          <t>TAK</t>
        </is>
      </c>
    </row>
    <row r="223">
      <c r="A223" s="6" t="inlineStr">
        <is>
          <t>21273</t>
        </is>
      </c>
      <c r="B223" s="7" t="inlineStr">
        <is>
          <t>The Ghast Balloon Village Attack</t>
        </is>
      </c>
      <c r="C223" s="6" t="inlineStr">
        <is>
          <t>Minecraft</t>
        </is>
      </c>
      <c r="D223" s="6" t="inlineStr">
        <is>
          <t>2026-12-31</t>
        </is>
      </c>
      <c r="E223" s="6" t="inlineStr">
        <is>
          <t>TAK</t>
        </is>
      </c>
    </row>
    <row r="224">
      <c r="A224" s="4" t="inlineStr">
        <is>
          <t>21274</t>
        </is>
      </c>
      <c r="B224" s="5" t="inlineStr">
        <is>
          <t>The Warden Encounter</t>
        </is>
      </c>
      <c r="C224" s="4" t="inlineStr">
        <is>
          <t>Minecraft</t>
        </is>
      </c>
      <c r="D224" s="4" t="inlineStr">
        <is>
          <t>2026-12-31</t>
        </is>
      </c>
      <c r="E224" s="4" t="inlineStr">
        <is>
          <t>TAK</t>
        </is>
      </c>
    </row>
    <row r="225">
      <c r="A225" s="6" t="inlineStr">
        <is>
          <t>21275</t>
        </is>
      </c>
      <c r="B225" s="7" t="inlineStr">
        <is>
          <t>The TNT Jungle House</t>
        </is>
      </c>
      <c r="C225" s="6" t="inlineStr">
        <is>
          <t>Minecraft</t>
        </is>
      </c>
      <c r="D225" s="6" t="inlineStr">
        <is>
          <t>2026-12-31</t>
        </is>
      </c>
      <c r="E225" s="6" t="inlineStr">
        <is>
          <t>TAK</t>
        </is>
      </c>
    </row>
    <row r="226">
      <c r="A226" s="4" t="inlineStr">
        <is>
          <t>21277</t>
        </is>
      </c>
      <c r="B226" s="5" t="inlineStr">
        <is>
          <t>The Pickaxe Mine</t>
        </is>
      </c>
      <c r="C226" s="4" t="inlineStr">
        <is>
          <t>Minecraft</t>
        </is>
      </c>
      <c r="D226" s="4" t="inlineStr">
        <is>
          <t>2026-12-31</t>
        </is>
      </c>
      <c r="E226" s="4" t="inlineStr">
        <is>
          <t>TAK</t>
        </is>
      </c>
    </row>
    <row r="227">
      <c r="A227" s="6" t="inlineStr">
        <is>
          <t>21278</t>
        </is>
      </c>
      <c r="B227" s="7" t="inlineStr">
        <is>
          <t>The Pillager Outpost and Ravager</t>
        </is>
      </c>
      <c r="C227" s="6" t="inlineStr">
        <is>
          <t>Minecraft</t>
        </is>
      </c>
      <c r="D227" s="6" t="inlineStr">
        <is>
          <t>2026-12-31</t>
        </is>
      </c>
      <c r="E227" s="6" t="inlineStr">
        <is>
          <t>TAK</t>
        </is>
      </c>
    </row>
    <row r="228">
      <c r="A228" s="4" t="inlineStr">
        <is>
          <t>21279</t>
        </is>
      </c>
      <c r="B228" s="5" t="inlineStr">
        <is>
          <t>The Enderman Tower</t>
        </is>
      </c>
      <c r="C228" s="4" t="inlineStr">
        <is>
          <t>Minecraft</t>
        </is>
      </c>
      <c r="D228" s="4" t="inlineStr">
        <is>
          <t>2026-12-31</t>
        </is>
      </c>
      <c r="E228" s="4" t="inlineStr">
        <is>
          <t>TAK</t>
        </is>
      </c>
    </row>
    <row r="229">
      <c r="A229" s="6" t="inlineStr">
        <is>
          <t>21282</t>
        </is>
      </c>
      <c r="B229" s="7" t="inlineStr">
        <is>
          <t>The Parrot Houses</t>
        </is>
      </c>
      <c r="C229" s="6" t="inlineStr">
        <is>
          <t>Minecraft</t>
        </is>
      </c>
      <c r="D229" s="6" t="inlineStr">
        <is>
          <t>2026-12-31</t>
        </is>
      </c>
      <c r="E229" s="6" t="inlineStr">
        <is>
          <t>TAK</t>
        </is>
      </c>
    </row>
    <row r="230">
      <c r="A230" s="4" t="inlineStr">
        <is>
          <t>21584</t>
        </is>
      </c>
      <c r="B230" s="5" t="inlineStr">
        <is>
          <t>Nether &amp; End Portal Journey</t>
        </is>
      </c>
      <c r="C230" s="4" t="inlineStr">
        <is>
          <t>Minecraft</t>
        </is>
      </c>
      <c r="D230" s="4" t="inlineStr">
        <is>
          <t>2026-12-31</t>
        </is>
      </c>
      <c r="E230" s="4" t="inlineStr">
        <is>
          <t>TAK</t>
        </is>
      </c>
    </row>
    <row r="231">
      <c r="A231" s="6" t="inlineStr">
        <is>
          <t>30732</t>
        </is>
      </c>
      <c r="B231" s="7" t="inlineStr">
        <is>
          <t>Alex's Campfire Conflict (Polybag)</t>
        </is>
      </c>
      <c r="C231" s="6" t="inlineStr">
        <is>
          <t>Minecraft</t>
        </is>
      </c>
      <c r="D231" s="6" t="inlineStr">
        <is>
          <t>2026-12-31</t>
        </is>
      </c>
      <c r="E231" s="6" t="inlineStr">
        <is>
          <t>TAK</t>
        </is>
      </c>
    </row>
    <row r="232">
      <c r="A232" s="4" t="inlineStr">
        <is>
          <t>40179</t>
        </is>
      </c>
      <c r="B232" s="5" t="inlineStr">
        <is>
          <t>Personalised Mosaic Portrait</t>
        </is>
      </c>
      <c r="C232" s="4" t="inlineStr">
        <is>
          <t>Miscellaneous</t>
        </is>
      </c>
      <c r="D232" s="4" t="inlineStr">
        <is>
          <t>2026-12-31</t>
        </is>
      </c>
      <c r="E232" s="4" t="inlineStr">
        <is>
          <t>TAK</t>
        </is>
      </c>
    </row>
    <row r="233">
      <c r="A233" s="6" t="inlineStr">
        <is>
          <t>40504</t>
        </is>
      </c>
      <c r="B233" s="7" t="inlineStr">
        <is>
          <t>A Minifigure Tribute</t>
        </is>
      </c>
      <c r="C233" s="6" t="inlineStr">
        <is>
          <t>Miscellaneous</t>
        </is>
      </c>
      <c r="D233" s="6" t="inlineStr">
        <is>
          <t>2026-12-31</t>
        </is>
      </c>
      <c r="E233" s="6" t="inlineStr">
        <is>
          <t>TAK</t>
        </is>
      </c>
    </row>
    <row r="234">
      <c r="A234" s="4" t="inlineStr">
        <is>
          <t>40743</t>
        </is>
      </c>
      <c r="B234" s="5" t="inlineStr">
        <is>
          <t>Christmas Table Decoration</t>
        </is>
      </c>
      <c r="C234" s="4" t="inlineStr">
        <is>
          <t>Miscellaneous</t>
        </is>
      </c>
      <c r="D234" s="4" t="inlineStr">
        <is>
          <t>2026-12-31</t>
        </is>
      </c>
      <c r="E234" s="4" t="inlineStr">
        <is>
          <t>TAK</t>
        </is>
      </c>
    </row>
    <row r="235">
      <c r="A235" s="6" t="inlineStr">
        <is>
          <t>40805</t>
        </is>
      </c>
      <c r="B235" s="7" t="inlineStr">
        <is>
          <t>Arcade Machine</t>
        </is>
      </c>
      <c r="C235" s="6" t="inlineStr">
        <is>
          <t>Miscellaneous</t>
        </is>
      </c>
      <c r="D235" s="6" t="inlineStr">
        <is>
          <t>2026-12-31</t>
        </is>
      </c>
      <c r="E235" s="6" t="inlineStr">
        <is>
          <t>TAK</t>
        </is>
      </c>
    </row>
    <row r="236">
      <c r="A236" s="4" t="inlineStr">
        <is>
          <t>40807</t>
        </is>
      </c>
      <c r="B236" s="5" t="inlineStr">
        <is>
          <t>Birthday Numbers</t>
        </is>
      </c>
      <c r="C236" s="4" t="inlineStr">
        <is>
          <t>Miscellaneous</t>
        </is>
      </c>
      <c r="D236" s="4" t="inlineStr">
        <is>
          <t>2026-12-31</t>
        </is>
      </c>
      <c r="E236" s="4" t="inlineStr">
        <is>
          <t>TAK</t>
        </is>
      </c>
    </row>
    <row r="237">
      <c r="A237" s="6" t="inlineStr">
        <is>
          <t>40808</t>
        </is>
      </c>
      <c r="B237" s="7" t="inlineStr">
        <is>
          <t>Easter Bunny And Chick Egg Hunt</t>
        </is>
      </c>
      <c r="C237" s="6" t="inlineStr">
        <is>
          <t>Miscellaneous</t>
        </is>
      </c>
      <c r="D237" s="6" t="inlineStr">
        <is>
          <t>2026-12-31</t>
        </is>
      </c>
      <c r="E237" s="6" t="inlineStr">
        <is>
          <t>TAK</t>
        </is>
      </c>
    </row>
    <row r="238">
      <c r="A238" s="4" t="inlineStr">
        <is>
          <t>40812</t>
        </is>
      </c>
      <c r="B238" s="5" t="inlineStr">
        <is>
          <t>Snowman Ornaments</t>
        </is>
      </c>
      <c r="C238" s="4" t="inlineStr">
        <is>
          <t>Miscellaneous</t>
        </is>
      </c>
      <c r="D238" s="4" t="inlineStr">
        <is>
          <t>2026-12-31</t>
        </is>
      </c>
      <c r="E238" s="4" t="inlineStr">
        <is>
          <t>TAK</t>
        </is>
      </c>
    </row>
    <row r="239">
      <c r="A239" s="6" t="inlineStr">
        <is>
          <t>40814</t>
        </is>
      </c>
      <c r="B239" s="7" t="inlineStr">
        <is>
          <t>Baby Elephant in the Sky</t>
        </is>
      </c>
      <c r="C239" s="6" t="inlineStr">
        <is>
          <t>Miscellaneous</t>
        </is>
      </c>
      <c r="D239" s="6" t="inlineStr">
        <is>
          <t>2026-12-31</t>
        </is>
      </c>
      <c r="E239" s="6" t="inlineStr">
        <is>
          <t>TAK</t>
        </is>
      </c>
    </row>
    <row r="240">
      <c r="A240" s="4" t="inlineStr">
        <is>
          <t>40815</t>
        </is>
      </c>
      <c r="B240" s="5" t="inlineStr">
        <is>
          <t>Birthday Party Cake</t>
        </is>
      </c>
      <c r="C240" s="4" t="inlineStr">
        <is>
          <t>Miscellaneous</t>
        </is>
      </c>
      <c r="D240" s="4" t="inlineStr">
        <is>
          <t>2026-12-31</t>
        </is>
      </c>
      <c r="E240" s="4" t="inlineStr">
        <is>
          <t>TAK</t>
        </is>
      </c>
    </row>
    <row r="241">
      <c r="A241" s="6" t="inlineStr">
        <is>
          <t>40816</t>
        </is>
      </c>
      <c r="B241" s="7" t="inlineStr">
        <is>
          <t>Decorative Easter Egg</t>
        </is>
      </c>
      <c r="C241" s="6" t="inlineStr">
        <is>
          <t>Miscellaneous</t>
        </is>
      </c>
      <c r="D241" s="6" t="inlineStr">
        <is>
          <t>2026-12-31</t>
        </is>
      </c>
      <c r="E241" s="6" t="inlineStr">
        <is>
          <t>TAK</t>
        </is>
      </c>
    </row>
    <row r="242">
      <c r="A242" s="4" t="inlineStr">
        <is>
          <t>40819</t>
        </is>
      </c>
      <c r="B242" s="5" t="inlineStr">
        <is>
          <t>Up-Scaled Racing Driver Minifigure</t>
        </is>
      </c>
      <c r="C242" s="4" t="inlineStr">
        <is>
          <t>Miscellaneous</t>
        </is>
      </c>
      <c r="D242" s="4" t="inlineStr">
        <is>
          <t>2026-12-31</t>
        </is>
      </c>
      <c r="E242" s="4" t="inlineStr">
        <is>
          <t>TAK</t>
        </is>
      </c>
    </row>
    <row r="243">
      <c r="A243" s="6" t="inlineStr">
        <is>
          <t>40822</t>
        </is>
      </c>
      <c r="B243" s="7" t="inlineStr">
        <is>
          <t>Jack-O'-Lantern Pickup Truck</t>
        </is>
      </c>
      <c r="C243" s="6" t="inlineStr">
        <is>
          <t>Miscellaneous</t>
        </is>
      </c>
      <c r="D243" s="6" t="inlineStr">
        <is>
          <t>2026-12-31</t>
        </is>
      </c>
      <c r="E243" s="6" t="inlineStr">
        <is>
          <t>TAK</t>
        </is>
      </c>
    </row>
    <row r="244">
      <c r="A244" s="4" t="inlineStr">
        <is>
          <t>40824</t>
        </is>
      </c>
      <c r="B244" s="5" t="inlineStr">
        <is>
          <t>Sweetheart Tweety Bird</t>
        </is>
      </c>
      <c r="C244" s="4" t="inlineStr">
        <is>
          <t>Miscellaneous</t>
        </is>
      </c>
      <c r="D244" s="4" t="inlineStr">
        <is>
          <t>2026-12-31</t>
        </is>
      </c>
      <c r="E244" s="4" t="inlineStr">
        <is>
          <t>TAK</t>
        </is>
      </c>
    </row>
    <row r="245">
      <c r="A245" s="6" t="inlineStr">
        <is>
          <t>40955</t>
        </is>
      </c>
      <c r="B245" s="7" t="inlineStr">
        <is>
          <t>Maersk Dual-Fuel Container Vessel</t>
        </is>
      </c>
      <c r="C245" s="6" t="inlineStr">
        <is>
          <t>Miscellaneous</t>
        </is>
      </c>
      <c r="D245" s="6" t="inlineStr">
        <is>
          <t>2026-12-31</t>
        </is>
      </c>
      <c r="E245" s="6" t="inlineStr">
        <is>
          <t>TAK</t>
        </is>
      </c>
    </row>
    <row r="246">
      <c r="A246" s="4" t="inlineStr">
        <is>
          <t>80118</t>
        </is>
      </c>
      <c r="B246" s="5" t="inlineStr">
        <is>
          <t>Fortune Firecracker</t>
        </is>
      </c>
      <c r="C246" s="4" t="inlineStr">
        <is>
          <t>Miscellaneous</t>
        </is>
      </c>
      <c r="D246" s="4" t="inlineStr">
        <is>
          <t>2026-12-31</t>
        </is>
      </c>
      <c r="E246" s="4" t="inlineStr">
        <is>
          <t>TAK</t>
        </is>
      </c>
    </row>
    <row r="247">
      <c r="A247" s="6" t="inlineStr">
        <is>
          <t>80119</t>
        </is>
      </c>
      <c r="B247" s="7" t="inlineStr">
        <is>
          <t>Galloping Horse Canvas</t>
        </is>
      </c>
      <c r="C247" s="6" t="inlineStr">
        <is>
          <t>Miscellaneous</t>
        </is>
      </c>
      <c r="D247" s="6" t="inlineStr">
        <is>
          <t>2026-12-31</t>
        </is>
      </c>
      <c r="E247" s="6" t="inlineStr">
        <is>
          <t>TAK</t>
        </is>
      </c>
    </row>
    <row r="248">
      <c r="A248" s="4" t="inlineStr">
        <is>
          <t>43010</t>
        </is>
      </c>
      <c r="B248" s="5" t="inlineStr">
        <is>
          <t>Nike Slam Dunk</t>
        </is>
      </c>
      <c r="C248" s="4" t="inlineStr">
        <is>
          <t>Nike</t>
        </is>
      </c>
      <c r="D248" s="4" t="inlineStr">
        <is>
          <t>2026-12-31</t>
        </is>
      </c>
      <c r="E248" s="4" t="inlineStr">
        <is>
          <t>TAK</t>
        </is>
      </c>
    </row>
    <row r="249">
      <c r="A249" s="6" t="inlineStr">
        <is>
          <t>43021</t>
        </is>
      </c>
      <c r="B249" s="7" t="inlineStr">
        <is>
          <t>Nike Dunk Trickshot</t>
        </is>
      </c>
      <c r="C249" s="6" t="inlineStr">
        <is>
          <t>Nike</t>
        </is>
      </c>
      <c r="D249" s="6" t="inlineStr">
        <is>
          <t>2026-12-31</t>
        </is>
      </c>
      <c r="E249" s="6" t="inlineStr">
        <is>
          <t>TAK</t>
        </is>
      </c>
    </row>
    <row r="250">
      <c r="A250" s="4" t="inlineStr">
        <is>
          <t>30700</t>
        </is>
      </c>
      <c r="B250" s="5" t="inlineStr">
        <is>
          <t>Arin vs. Dragonian Battle (Polybag)</t>
        </is>
      </c>
      <c r="C250" s="4" t="inlineStr">
        <is>
          <t>Ninjago</t>
        </is>
      </c>
      <c r="D250" s="4" t="inlineStr">
        <is>
          <t>2026-12-31</t>
        </is>
      </c>
      <c r="E250" s="4" t="inlineStr">
        <is>
          <t>TAK</t>
        </is>
      </c>
    </row>
    <row r="251">
      <c r="A251" s="6" t="inlineStr">
        <is>
          <t>30723</t>
        </is>
      </c>
      <c r="B251" s="7" t="inlineStr">
        <is>
          <t>Cole's Car (Polybag)</t>
        </is>
      </c>
      <c r="C251" s="6" t="inlineStr">
        <is>
          <t>Ninjago</t>
        </is>
      </c>
      <c r="D251" s="6" t="inlineStr">
        <is>
          <t>2026-12-31</t>
        </is>
      </c>
      <c r="E251" s="6" t="inlineStr">
        <is>
          <t>TAK</t>
        </is>
      </c>
    </row>
    <row r="252">
      <c r="A252" s="4" t="inlineStr">
        <is>
          <t>71780</t>
        </is>
      </c>
      <c r="B252" s="5" t="inlineStr">
        <is>
          <t>Kai's Ninja Race Car EVO</t>
        </is>
      </c>
      <c r="C252" s="4" t="inlineStr">
        <is>
          <t>Ninjago</t>
        </is>
      </c>
      <c r="D252" s="4" t="inlineStr">
        <is>
          <t>2026-12-31</t>
        </is>
      </c>
      <c r="E252" s="4" t="inlineStr">
        <is>
          <t>TAK</t>
        </is>
      </c>
    </row>
    <row r="253">
      <c r="A253" s="6" t="inlineStr">
        <is>
          <t>71808</t>
        </is>
      </c>
      <c r="B253" s="7" t="inlineStr">
        <is>
          <t>Kai's Elemental Fire Mech</t>
        </is>
      </c>
      <c r="C253" s="6" t="inlineStr">
        <is>
          <t>Ninjago</t>
        </is>
      </c>
      <c r="D253" s="6" t="inlineStr">
        <is>
          <t>2026-12-31</t>
        </is>
      </c>
      <c r="E253" s="6" t="inlineStr">
        <is>
          <t>TAK</t>
        </is>
      </c>
    </row>
    <row r="254">
      <c r="A254" s="4" t="inlineStr">
        <is>
          <t>71814</t>
        </is>
      </c>
      <c r="B254" s="5" t="inlineStr">
        <is>
          <t>Tournament Temple City</t>
        </is>
      </c>
      <c r="C254" s="4" t="inlineStr">
        <is>
          <t>Ninjago</t>
        </is>
      </c>
      <c r="D254" s="4" t="inlineStr">
        <is>
          <t>2026-12-31</t>
        </is>
      </c>
      <c r="E254" s="4" t="inlineStr">
        <is>
          <t>TAK</t>
        </is>
      </c>
    </row>
    <row r="255">
      <c r="A255" s="6" t="inlineStr">
        <is>
          <t>71826</t>
        </is>
      </c>
      <c r="B255" s="7" t="inlineStr">
        <is>
          <t>Dragon Spinjitzu Battle Pack</t>
        </is>
      </c>
      <c r="C255" s="6" t="inlineStr">
        <is>
          <t>Ninjago</t>
        </is>
      </c>
      <c r="D255" s="6" t="inlineStr">
        <is>
          <t>2026-12-31</t>
        </is>
      </c>
      <c r="E255" s="6" t="inlineStr">
        <is>
          <t>TAK</t>
        </is>
      </c>
    </row>
    <row r="256">
      <c r="A256" s="4" t="inlineStr">
        <is>
          <t>71827</t>
        </is>
      </c>
      <c r="B256" s="5" t="inlineStr">
        <is>
          <t>Zane's Action Mech</t>
        </is>
      </c>
      <c r="C256" s="4" t="inlineStr">
        <is>
          <t>Ninjago</t>
        </is>
      </c>
      <c r="D256" s="4" t="inlineStr">
        <is>
          <t>2026-12-31</t>
        </is>
      </c>
      <c r="E256" s="4" t="inlineStr">
        <is>
          <t>TAK</t>
        </is>
      </c>
    </row>
    <row r="257">
      <c r="A257" s="6" t="inlineStr">
        <is>
          <t>71829</t>
        </is>
      </c>
      <c r="B257" s="7" t="inlineStr">
        <is>
          <t>Lloyd's Green Forest Dragon</t>
        </is>
      </c>
      <c r="C257" s="6" t="inlineStr">
        <is>
          <t>Ninjago</t>
        </is>
      </c>
      <c r="D257" s="6" t="inlineStr">
        <is>
          <t>2026-12-31</t>
        </is>
      </c>
      <c r="E257" s="6" t="inlineStr">
        <is>
          <t>TAK</t>
        </is>
      </c>
    </row>
    <row r="258">
      <c r="A258" s="4" t="inlineStr">
        <is>
          <t>71830</t>
        </is>
      </c>
      <c r="B258" s="5" t="inlineStr">
        <is>
          <t>Kai's Storm Rider Mech</t>
        </is>
      </c>
      <c r="C258" s="4" t="inlineStr">
        <is>
          <t>Ninjago</t>
        </is>
      </c>
      <c r="D258" s="4" t="inlineStr">
        <is>
          <t>2026-12-31</t>
        </is>
      </c>
      <c r="E258" s="4" t="inlineStr">
        <is>
          <t>TAK</t>
        </is>
      </c>
    </row>
    <row r="259">
      <c r="A259" s="6" t="inlineStr">
        <is>
          <t>71831</t>
        </is>
      </c>
      <c r="B259" s="7" t="inlineStr">
        <is>
          <t>Ninja Spinjitzu Temple</t>
        </is>
      </c>
      <c r="C259" s="6" t="inlineStr">
        <is>
          <t>Ninjago</t>
        </is>
      </c>
      <c r="D259" s="6" t="inlineStr">
        <is>
          <t>2026-12-31</t>
        </is>
      </c>
      <c r="E259" s="6" t="inlineStr">
        <is>
          <t>TAK</t>
        </is>
      </c>
    </row>
    <row r="260">
      <c r="A260" s="4" t="inlineStr">
        <is>
          <t>71834</t>
        </is>
      </c>
      <c r="B260" s="5" t="inlineStr">
        <is>
          <t>Zane's Ultra Combiner Mech</t>
        </is>
      </c>
      <c r="C260" s="4" t="inlineStr">
        <is>
          <t>Ninjago</t>
        </is>
      </c>
      <c r="D260" s="4" t="inlineStr">
        <is>
          <t>2026-12-31</t>
        </is>
      </c>
      <c r="E260" s="4" t="inlineStr">
        <is>
          <t>TAK</t>
        </is>
      </c>
    </row>
    <row r="261">
      <c r="A261" s="6" t="inlineStr">
        <is>
          <t>71836</t>
        </is>
      </c>
      <c r="B261" s="7" t="inlineStr">
        <is>
          <t>Arc Dragon of Focus</t>
        </is>
      </c>
      <c r="C261" s="6" t="inlineStr">
        <is>
          <t>Ninjago</t>
        </is>
      </c>
      <c r="D261" s="6" t="inlineStr">
        <is>
          <t>2026-12-31</t>
        </is>
      </c>
      <c r="E261" s="6" t="inlineStr">
        <is>
          <t>TAK</t>
        </is>
      </c>
    </row>
    <row r="262">
      <c r="A262" s="4" t="inlineStr">
        <is>
          <t>71838</t>
        </is>
      </c>
      <c r="B262" s="5" t="inlineStr">
        <is>
          <t>Kai's Motorcycle Speed Race</t>
        </is>
      </c>
      <c r="C262" s="4" t="inlineStr">
        <is>
          <t>Ninjago</t>
        </is>
      </c>
      <c r="D262" s="4" t="inlineStr">
        <is>
          <t>2026-12-31</t>
        </is>
      </c>
      <c r="E262" s="4" t="inlineStr">
        <is>
          <t>TAK</t>
        </is>
      </c>
    </row>
    <row r="263">
      <c r="A263" s="6" t="inlineStr">
        <is>
          <t>71839</t>
        </is>
      </c>
      <c r="B263" s="7" t="inlineStr">
        <is>
          <t>Arin's Spinjitzu Battle Mech</t>
        </is>
      </c>
      <c r="C263" s="6" t="inlineStr">
        <is>
          <t>Ninjago</t>
        </is>
      </c>
      <c r="D263" s="6" t="inlineStr">
        <is>
          <t>2026-12-31</t>
        </is>
      </c>
      <c r="E263" s="6" t="inlineStr">
        <is>
          <t>TAK</t>
        </is>
      </c>
    </row>
    <row r="264">
      <c r="A264" s="4" t="inlineStr">
        <is>
          <t>71840</t>
        </is>
      </c>
      <c r="B264" s="5" t="inlineStr">
        <is>
          <t>Rogue vs. Drix Race Car Duel</t>
        </is>
      </c>
      <c r="C264" s="4" t="inlineStr">
        <is>
          <t>Ninjago</t>
        </is>
      </c>
      <c r="D264" s="4" t="inlineStr">
        <is>
          <t>2026-12-31</t>
        </is>
      </c>
      <c r="E264" s="4" t="inlineStr">
        <is>
          <t>TAK</t>
        </is>
      </c>
    </row>
    <row r="265">
      <c r="A265" s="6" t="inlineStr">
        <is>
          <t>71846</t>
        </is>
      </c>
      <c r="B265" s="7" t="inlineStr">
        <is>
          <t>The Fire Knight Mech</t>
        </is>
      </c>
      <c r="C265" s="6" t="inlineStr">
        <is>
          <t>Ninjago</t>
        </is>
      </c>
      <c r="D265" s="6" t="inlineStr">
        <is>
          <t>2026-12-31</t>
        </is>
      </c>
      <c r="E265" s="6" t="inlineStr">
        <is>
          <t>TAK</t>
        </is>
      </c>
    </row>
    <row r="266">
      <c r="A266" s="4" t="inlineStr">
        <is>
          <t>71847</t>
        </is>
      </c>
      <c r="B266" s="5" t="inlineStr">
        <is>
          <t>The Guardian Dragon</t>
        </is>
      </c>
      <c r="C266" s="4" t="inlineStr">
        <is>
          <t>Ninjago</t>
        </is>
      </c>
      <c r="D266" s="4" t="inlineStr">
        <is>
          <t>2026-12-31</t>
        </is>
      </c>
      <c r="E266" s="4" t="inlineStr">
        <is>
          <t>TAK</t>
        </is>
      </c>
    </row>
    <row r="267">
      <c r="A267" s="6" t="inlineStr">
        <is>
          <t>71849</t>
        </is>
      </c>
      <c r="B267" s="7" t="inlineStr">
        <is>
          <t>Nya vs. Mutation Monster Spinner</t>
        </is>
      </c>
      <c r="C267" s="6" t="inlineStr">
        <is>
          <t>Ninjago</t>
        </is>
      </c>
      <c r="D267" s="6" t="inlineStr">
        <is>
          <t>2026-12-31</t>
        </is>
      </c>
      <c r="E267" s="6" t="inlineStr">
        <is>
          <t>TAK</t>
        </is>
      </c>
    </row>
    <row r="268">
      <c r="A268" s="4" t="inlineStr">
        <is>
          <t>71850</t>
        </is>
      </c>
      <c r="B268" s="5" t="inlineStr">
        <is>
          <t>Lloyd vs. Earth Monster Spinner</t>
        </is>
      </c>
      <c r="C268" s="4" t="inlineStr">
        <is>
          <t>Ninjago</t>
        </is>
      </c>
      <c r="D268" s="4" t="inlineStr">
        <is>
          <t>2026-12-31</t>
        </is>
      </c>
      <c r="E268" s="4" t="inlineStr">
        <is>
          <t>TAK</t>
        </is>
      </c>
    </row>
    <row r="269">
      <c r="A269" s="6" t="inlineStr">
        <is>
          <t>71854</t>
        </is>
      </c>
      <c r="B269" s="7" t="inlineStr">
        <is>
          <t>Cole's Mission Mech</t>
        </is>
      </c>
      <c r="C269" s="6" t="inlineStr">
        <is>
          <t>Ninjago</t>
        </is>
      </c>
      <c r="D269" s="6" t="inlineStr">
        <is>
          <t>2026-12-31</t>
        </is>
      </c>
      <c r="E269" s="6" t="inlineStr">
        <is>
          <t>TAK</t>
        </is>
      </c>
    </row>
    <row r="270">
      <c r="A270" s="4" t="inlineStr">
        <is>
          <t>71856</t>
        </is>
      </c>
      <c r="B270" s="5" t="inlineStr">
        <is>
          <t>Jay's Transforming Car</t>
        </is>
      </c>
      <c r="C270" s="4" t="inlineStr">
        <is>
          <t>Ninjago</t>
        </is>
      </c>
      <c r="D270" s="4" t="inlineStr">
        <is>
          <t>2026-12-31</t>
        </is>
      </c>
      <c r="E270" s="4" t="inlineStr">
        <is>
          <t>TAK</t>
        </is>
      </c>
    </row>
    <row r="271">
      <c r="A271" s="6" t="inlineStr">
        <is>
          <t>71857</t>
        </is>
      </c>
      <c r="B271" s="7" t="inlineStr">
        <is>
          <t>Ninja Vehicle Tree House Battle</t>
        </is>
      </c>
      <c r="C271" s="6" t="inlineStr">
        <is>
          <t>Ninjago</t>
        </is>
      </c>
      <c r="D271" s="6" t="inlineStr">
        <is>
          <t>2026-12-31</t>
        </is>
      </c>
      <c r="E271" s="6" t="inlineStr">
        <is>
          <t>TAK</t>
        </is>
      </c>
    </row>
    <row r="272">
      <c r="A272" s="4" t="inlineStr">
        <is>
          <t>75636</t>
        </is>
      </c>
      <c r="B272" s="5" t="inlineStr">
        <is>
          <t>Windmill Village Hut</t>
        </is>
      </c>
      <c r="C272" s="4" t="inlineStr">
        <is>
          <t>One Piece</t>
        </is>
      </c>
      <c r="D272" s="4" t="inlineStr">
        <is>
          <t>2026-12-31</t>
        </is>
      </c>
      <c r="E272" s="4" t="inlineStr">
        <is>
          <t>TAK</t>
        </is>
      </c>
    </row>
    <row r="273">
      <c r="A273" s="6" t="inlineStr">
        <is>
          <t>75637</t>
        </is>
      </c>
      <c r="B273" s="7" t="inlineStr">
        <is>
          <t>Buggy the Clown's Circus Tent</t>
        </is>
      </c>
      <c r="C273" s="6" t="inlineStr">
        <is>
          <t>One Piece</t>
        </is>
      </c>
      <c r="D273" s="6" t="inlineStr">
        <is>
          <t>2026-12-31</t>
        </is>
      </c>
      <c r="E273" s="6" t="inlineStr">
        <is>
          <t>TAK</t>
        </is>
      </c>
    </row>
    <row r="274">
      <c r="A274" s="4" t="inlineStr">
        <is>
          <t>30733</t>
        </is>
      </c>
      <c r="B274" s="5" t="inlineStr">
        <is>
          <t>Badnik: Skorp (Polybag)</t>
        </is>
      </c>
      <c r="C274" s="4" t="inlineStr">
        <is>
          <t>Sonic</t>
        </is>
      </c>
      <c r="D274" s="4" t="inlineStr">
        <is>
          <t>2026-12-31</t>
        </is>
      </c>
      <c r="E274" s="4" t="inlineStr">
        <is>
          <t>TAK</t>
        </is>
      </c>
    </row>
    <row r="275">
      <c r="A275" s="6" t="inlineStr">
        <is>
          <t>77001</t>
        </is>
      </c>
      <c r="B275" s="7" t="inlineStr">
        <is>
          <t>Sonic's Campfire Clash</t>
        </is>
      </c>
      <c r="C275" s="6" t="inlineStr">
        <is>
          <t>Sonic</t>
        </is>
      </c>
      <c r="D275" s="6" t="inlineStr">
        <is>
          <t>2026-12-31</t>
        </is>
      </c>
      <c r="E275" s="6" t="inlineStr">
        <is>
          <t>TAK</t>
        </is>
      </c>
    </row>
    <row r="276">
      <c r="A276" s="4" t="inlineStr">
        <is>
          <t>77002</t>
        </is>
      </c>
      <c r="B276" s="5" t="inlineStr">
        <is>
          <t>Cyclone vs. Metal Sonic</t>
        </is>
      </c>
      <c r="C276" s="4" t="inlineStr">
        <is>
          <t>Sonic</t>
        </is>
      </c>
      <c r="D276" s="4" t="inlineStr">
        <is>
          <t>2026-12-31</t>
        </is>
      </c>
      <c r="E276" s="4" t="inlineStr">
        <is>
          <t>TAK</t>
        </is>
      </c>
    </row>
    <row r="277">
      <c r="A277" s="6" t="inlineStr">
        <is>
          <t>77005</t>
        </is>
      </c>
      <c r="B277" s="7" t="inlineStr">
        <is>
          <t>Knuckles vs. Dr. Eggman Egg Crusher Mech</t>
        </is>
      </c>
      <c r="C277" s="6" t="inlineStr">
        <is>
          <t>Sonic</t>
        </is>
      </c>
      <c r="D277" s="6" t="inlineStr">
        <is>
          <t>2026-12-31</t>
        </is>
      </c>
      <c r="E277" s="6" t="inlineStr">
        <is>
          <t>TAK</t>
        </is>
      </c>
    </row>
    <row r="278">
      <c r="A278" s="4" t="inlineStr">
        <is>
          <t>77006</t>
        </is>
      </c>
      <c r="B278" s="5" t="inlineStr">
        <is>
          <t>Team Sonic Command Truck</t>
        </is>
      </c>
      <c r="C278" s="4" t="inlineStr">
        <is>
          <t>Sonic</t>
        </is>
      </c>
      <c r="D278" s="4" t="inlineStr">
        <is>
          <t>2026-12-31</t>
        </is>
      </c>
      <c r="E278" s="4" t="inlineStr">
        <is>
          <t>TAK</t>
        </is>
      </c>
    </row>
    <row r="279">
      <c r="A279" s="6" t="inlineStr">
        <is>
          <t>77117</t>
        </is>
      </c>
      <c r="B279" s="7" t="inlineStr">
        <is>
          <t>Sonic: Speedster Lightning</t>
        </is>
      </c>
      <c r="C279" s="6" t="inlineStr">
        <is>
          <t>Sonic</t>
        </is>
      </c>
      <c r="D279" s="6" t="inlineStr">
        <is>
          <t>2026-12-31</t>
        </is>
      </c>
      <c r="E279" s="6" t="inlineStr">
        <is>
          <t>TAK</t>
        </is>
      </c>
    </row>
    <row r="280">
      <c r="A280" s="4" t="inlineStr">
        <is>
          <t>77118</t>
        </is>
      </c>
      <c r="B280" s="5" t="inlineStr">
        <is>
          <t>Silver's Car vs. Knuckles' Monster Truck</t>
        </is>
      </c>
      <c r="C280" s="4" t="inlineStr">
        <is>
          <t>Sonic</t>
        </is>
      </c>
      <c r="D280" s="4" t="inlineStr">
        <is>
          <t>2026-12-31</t>
        </is>
      </c>
      <c r="E280" s="4" t="inlineStr">
        <is>
          <t>TAK</t>
        </is>
      </c>
    </row>
    <row r="281">
      <c r="A281" s="6" t="inlineStr">
        <is>
          <t>30734</t>
        </is>
      </c>
      <c r="B281" s="7" t="inlineStr">
        <is>
          <t>Mini F1 ACADEMY Car (Polybag)</t>
        </is>
      </c>
      <c r="C281" s="6" t="inlineStr">
        <is>
          <t>Speed Champions</t>
        </is>
      </c>
      <c r="D281" s="6" t="inlineStr">
        <is>
          <t>2026-12-31</t>
        </is>
      </c>
      <c r="E281" s="6" t="inlineStr">
        <is>
          <t>TAK</t>
        </is>
      </c>
    </row>
    <row r="282">
      <c r="A282" s="4" t="inlineStr">
        <is>
          <t>76924</t>
        </is>
      </c>
      <c r="B282" s="5" t="inlineStr">
        <is>
          <t>Mercedes-AMG G 63 &amp; Mercedes-AMG SL 63</t>
        </is>
      </c>
      <c r="C282" s="4" t="inlineStr">
        <is>
          <t>Speed Champions</t>
        </is>
      </c>
      <c r="D282" s="4" t="inlineStr">
        <is>
          <t>2026-12-31</t>
        </is>
      </c>
      <c r="E282" s="4" t="inlineStr">
        <is>
          <t>TAK</t>
        </is>
      </c>
    </row>
    <row r="283">
      <c r="A283" s="6" t="inlineStr">
        <is>
          <t>77242</t>
        </is>
      </c>
      <c r="B283" s="7" t="inlineStr">
        <is>
          <t>Ferrari SF-24 F1 Race Car</t>
        </is>
      </c>
      <c r="C283" s="6" t="inlineStr">
        <is>
          <t>Speed Champions</t>
        </is>
      </c>
      <c r="D283" s="6" t="inlineStr">
        <is>
          <t>2026-12-31</t>
        </is>
      </c>
      <c r="E283" s="6" t="inlineStr">
        <is>
          <t>TAK</t>
        </is>
      </c>
    </row>
    <row r="284">
      <c r="A284" s="4" t="inlineStr">
        <is>
          <t>77243</t>
        </is>
      </c>
      <c r="B284" s="5" t="inlineStr">
        <is>
          <t>Oracle Red Bull Racing RB20 F1 Race Car</t>
        </is>
      </c>
      <c r="C284" s="4" t="inlineStr">
        <is>
          <t>Speed Champions</t>
        </is>
      </c>
      <c r="D284" s="4" t="inlineStr">
        <is>
          <t>2026-12-31</t>
        </is>
      </c>
      <c r="E284" s="4" t="inlineStr">
        <is>
          <t>TAK</t>
        </is>
      </c>
    </row>
    <row r="285">
      <c r="A285" s="6" t="inlineStr">
        <is>
          <t>77244</t>
        </is>
      </c>
      <c r="B285" s="7" t="inlineStr">
        <is>
          <t>Mercedes-AMG PETRONAS W15 F1 Race Car</t>
        </is>
      </c>
      <c r="C285" s="6" t="inlineStr">
        <is>
          <t>Speed Champions</t>
        </is>
      </c>
      <c r="D285" s="6" t="inlineStr">
        <is>
          <t>2026-12-31</t>
        </is>
      </c>
      <c r="E285" s="6" t="inlineStr">
        <is>
          <t>TAK</t>
        </is>
      </c>
    </row>
    <row r="286">
      <c r="A286" s="4" t="inlineStr">
        <is>
          <t>77245</t>
        </is>
      </c>
      <c r="B286" s="5" t="inlineStr">
        <is>
          <t>Aston Martin Aramco F1 AMR24 Race Car</t>
        </is>
      </c>
      <c r="C286" s="4" t="inlineStr">
        <is>
          <t>Speed Champions</t>
        </is>
      </c>
      <c r="D286" s="4" t="inlineStr">
        <is>
          <t>2026-12-31</t>
        </is>
      </c>
      <c r="E286" s="4" t="inlineStr">
        <is>
          <t>TAK</t>
        </is>
      </c>
    </row>
    <row r="287">
      <c r="A287" s="6" t="inlineStr">
        <is>
          <t>77246</t>
        </is>
      </c>
      <c r="B287" s="7" t="inlineStr">
        <is>
          <t>Visa Cash App VCARB 01 F1 Race Car</t>
        </is>
      </c>
      <c r="C287" s="6" t="inlineStr">
        <is>
          <t>Speed Champions</t>
        </is>
      </c>
      <c r="D287" s="6" t="inlineStr">
        <is>
          <t>2026-12-31</t>
        </is>
      </c>
      <c r="E287" s="6" t="inlineStr">
        <is>
          <t>TAK</t>
        </is>
      </c>
    </row>
    <row r="288">
      <c r="A288" s="4" t="inlineStr">
        <is>
          <t>77248</t>
        </is>
      </c>
      <c r="B288" s="5" t="inlineStr">
        <is>
          <t>BWT Alpine F1 Team A524 Race Car</t>
        </is>
      </c>
      <c r="C288" s="4" t="inlineStr">
        <is>
          <t>Speed Champions</t>
        </is>
      </c>
      <c r="D288" s="4" t="inlineStr">
        <is>
          <t>2026-12-31</t>
        </is>
      </c>
      <c r="E288" s="4" t="inlineStr">
        <is>
          <t>TAK</t>
        </is>
      </c>
    </row>
    <row r="289">
      <c r="A289" s="6" t="inlineStr">
        <is>
          <t>77249</t>
        </is>
      </c>
      <c r="B289" s="7" t="inlineStr">
        <is>
          <t>Williams Racing FW46 F1 Race Car</t>
        </is>
      </c>
      <c r="C289" s="6" t="inlineStr">
        <is>
          <t>Speed Champions</t>
        </is>
      </c>
      <c r="D289" s="6" t="inlineStr">
        <is>
          <t>2026-12-31</t>
        </is>
      </c>
      <c r="E289" s="6" t="inlineStr">
        <is>
          <t>TAK</t>
        </is>
      </c>
    </row>
    <row r="290">
      <c r="A290" s="4" t="inlineStr">
        <is>
          <t>77250</t>
        </is>
      </c>
      <c r="B290" s="5" t="inlineStr">
        <is>
          <t>MoneyGram Haas F1 Team VF-24 Race Car</t>
        </is>
      </c>
      <c r="C290" s="4" t="inlineStr">
        <is>
          <t>Speed Champions</t>
        </is>
      </c>
      <c r="D290" s="4" t="inlineStr">
        <is>
          <t>2026-12-31</t>
        </is>
      </c>
      <c r="E290" s="4" t="inlineStr">
        <is>
          <t>TAK</t>
        </is>
      </c>
    </row>
    <row r="291">
      <c r="A291" s="6" t="inlineStr">
        <is>
          <t>77251</t>
        </is>
      </c>
      <c r="B291" s="7" t="inlineStr">
        <is>
          <t>McLaren MCL38 F1 Team Race Car</t>
        </is>
      </c>
      <c r="C291" s="6" t="inlineStr">
        <is>
          <t>Speed Champions</t>
        </is>
      </c>
      <c r="D291" s="6" t="inlineStr">
        <is>
          <t>2026-12-31</t>
        </is>
      </c>
      <c r="E291" s="6" t="inlineStr">
        <is>
          <t>TAK</t>
        </is>
      </c>
    </row>
    <row r="292">
      <c r="A292" s="4" t="inlineStr">
        <is>
          <t>77259</t>
        </is>
      </c>
      <c r="B292" s="5" t="inlineStr">
        <is>
          <t>Audi Revolut F1 Team R26 Race Car</t>
        </is>
      </c>
      <c r="C292" s="4" t="inlineStr">
        <is>
          <t>Speed Champions</t>
        </is>
      </c>
      <c r="D292" s="4" t="inlineStr">
        <is>
          <t>2026-12-31</t>
        </is>
      </c>
      <c r="E292" s="4" t="inlineStr">
        <is>
          <t>TAK</t>
        </is>
      </c>
    </row>
    <row r="293">
      <c r="A293" s="6" t="inlineStr">
        <is>
          <t>30727</t>
        </is>
      </c>
      <c r="B293" s="7" t="inlineStr">
        <is>
          <t>TIE Advanced (Polybag)</t>
        </is>
      </c>
      <c r="C293" s="6" t="inlineStr">
        <is>
          <t>Star Wars</t>
        </is>
      </c>
      <c r="D293" s="6" t="inlineStr">
        <is>
          <t>2026-12-31</t>
        </is>
      </c>
      <c r="E293" s="6" t="inlineStr">
        <is>
          <t>TAK</t>
        </is>
      </c>
    </row>
    <row r="294">
      <c r="A294" s="4" t="inlineStr">
        <is>
          <t>30728</t>
        </is>
      </c>
      <c r="B294" s="5" t="inlineStr">
        <is>
          <t>The Razor Crest (Polybag)</t>
        </is>
      </c>
      <c r="C294" s="4" t="inlineStr">
        <is>
          <t>Star Wars</t>
        </is>
      </c>
      <c r="D294" s="4" t="inlineStr">
        <is>
          <t>2026-12-31</t>
        </is>
      </c>
      <c r="E294" s="4" t="inlineStr">
        <is>
          <t>TAK</t>
        </is>
      </c>
    </row>
    <row r="295">
      <c r="A295" s="6" t="inlineStr">
        <is>
          <t>75192</t>
        </is>
      </c>
      <c r="B295" s="7" t="inlineStr">
        <is>
          <t>Millennium Falcon</t>
        </is>
      </c>
      <c r="C295" s="6" t="inlineStr">
        <is>
          <t>Star Wars</t>
        </is>
      </c>
      <c r="D295" s="6" t="inlineStr">
        <is>
          <t>2026-12-31</t>
        </is>
      </c>
      <c r="E295" s="6" t="inlineStr">
        <is>
          <t>TAK</t>
        </is>
      </c>
    </row>
    <row r="296">
      <c r="A296" s="4" t="inlineStr">
        <is>
          <t>75328</t>
        </is>
      </c>
      <c r="B296" s="5" t="inlineStr">
        <is>
          <t>The Mandalorian Helmet</t>
        </is>
      </c>
      <c r="C296" s="4" t="inlineStr">
        <is>
          <t>Star Wars</t>
        </is>
      </c>
      <c r="D296" s="4" t="inlineStr">
        <is>
          <t>2026-12-31</t>
        </is>
      </c>
      <c r="E296" s="4" t="inlineStr">
        <is>
          <t>TAK</t>
        </is>
      </c>
    </row>
    <row r="297">
      <c r="A297" s="6" t="inlineStr">
        <is>
          <t>75367</t>
        </is>
      </c>
      <c r="B297" s="7" t="inlineStr">
        <is>
          <t>Venator-class Republic Attack Cruiser</t>
        </is>
      </c>
      <c r="C297" s="6" t="inlineStr">
        <is>
          <t>Star Wars</t>
        </is>
      </c>
      <c r="D297" s="6" t="inlineStr">
        <is>
          <t>2026-12-31</t>
        </is>
      </c>
      <c r="E297" s="6" t="inlineStr">
        <is>
          <t>TAK</t>
        </is>
      </c>
    </row>
    <row r="298">
      <c r="A298" s="4" t="inlineStr">
        <is>
          <t>75372</t>
        </is>
      </c>
      <c r="B298" s="5" t="inlineStr">
        <is>
          <t>Clone Trooper &amp; Battle Droid Battle Pack</t>
        </is>
      </c>
      <c r="C298" s="4" t="inlineStr">
        <is>
          <t>Star Wars</t>
        </is>
      </c>
      <c r="D298" s="4" t="inlineStr">
        <is>
          <t>2026-12-31</t>
        </is>
      </c>
      <c r="E298" s="4" t="inlineStr">
        <is>
          <t>TAK</t>
        </is>
      </c>
    </row>
    <row r="299">
      <c r="A299" s="6" t="inlineStr">
        <is>
          <t>75382</t>
        </is>
      </c>
      <c r="B299" s="7" t="inlineStr">
        <is>
          <t>TIE Interceptor</t>
        </is>
      </c>
      <c r="C299" s="6" t="inlineStr">
        <is>
          <t>Star Wars</t>
        </is>
      </c>
      <c r="D299" s="6" t="inlineStr">
        <is>
          <t>2026-12-31</t>
        </is>
      </c>
      <c r="E299" s="6" t="inlineStr">
        <is>
          <t>TAK</t>
        </is>
      </c>
    </row>
    <row r="300">
      <c r="A300" s="4" t="inlineStr">
        <is>
          <t>75389</t>
        </is>
      </c>
      <c r="B300" s="5" t="inlineStr">
        <is>
          <t>The Dark Falcon</t>
        </is>
      </c>
      <c r="C300" s="4" t="inlineStr">
        <is>
          <t>Star Wars</t>
        </is>
      </c>
      <c r="D300" s="4" t="inlineStr">
        <is>
          <t>2026-12-31</t>
        </is>
      </c>
      <c r="E300" s="4" t="inlineStr">
        <is>
          <t>TAK</t>
        </is>
      </c>
    </row>
    <row r="301">
      <c r="A301" s="6" t="inlineStr">
        <is>
          <t>75397</t>
        </is>
      </c>
      <c r="B301" s="7" t="inlineStr">
        <is>
          <t>Jabba's Sail Barge</t>
        </is>
      </c>
      <c r="C301" s="6" t="inlineStr">
        <is>
          <t>Star Wars</t>
        </is>
      </c>
      <c r="D301" s="6" t="inlineStr">
        <is>
          <t>2026-12-31</t>
        </is>
      </c>
      <c r="E301" s="6" t="inlineStr">
        <is>
          <t>TAK</t>
        </is>
      </c>
    </row>
    <row r="302">
      <c r="A302" s="4" t="inlineStr">
        <is>
          <t>75399</t>
        </is>
      </c>
      <c r="B302" s="5" t="inlineStr">
        <is>
          <t>Rebel U-wing Starfighter</t>
        </is>
      </c>
      <c r="C302" s="4" t="inlineStr">
        <is>
          <t>Star Wars</t>
        </is>
      </c>
      <c r="D302" s="4" t="inlineStr">
        <is>
          <t>2026-12-31</t>
        </is>
      </c>
      <c r="E302" s="4" t="inlineStr">
        <is>
          <t>TAK</t>
        </is>
      </c>
    </row>
    <row r="303">
      <c r="A303" s="6" t="inlineStr">
        <is>
          <t>75400</t>
        </is>
      </c>
      <c r="B303" s="7" t="inlineStr">
        <is>
          <t>Plo Koon's Jedi Starfighter Microfighter</t>
        </is>
      </c>
      <c r="C303" s="6" t="inlineStr">
        <is>
          <t>Star Wars</t>
        </is>
      </c>
      <c r="D303" s="6" t="inlineStr">
        <is>
          <t>2026-12-31</t>
        </is>
      </c>
      <c r="E303" s="6" t="inlineStr">
        <is>
          <t>TAK</t>
        </is>
      </c>
    </row>
    <row r="304">
      <c r="A304" s="4" t="inlineStr">
        <is>
          <t>75406</t>
        </is>
      </c>
      <c r="B304" s="5" t="inlineStr">
        <is>
          <t>Kylo Ren's Command Shuttle</t>
        </is>
      </c>
      <c r="C304" s="4" t="inlineStr">
        <is>
          <t>Star Wars</t>
        </is>
      </c>
      <c r="D304" s="4" t="inlineStr">
        <is>
          <t>2026-12-31</t>
        </is>
      </c>
      <c r="E304" s="4" t="inlineStr">
        <is>
          <t>TAK</t>
        </is>
      </c>
    </row>
    <row r="305">
      <c r="A305" s="6" t="inlineStr">
        <is>
          <t>75410</t>
        </is>
      </c>
      <c r="B305" s="7" t="inlineStr">
        <is>
          <t>Mando and Grogu's N-1 Starfighter</t>
        </is>
      </c>
      <c r="C305" s="6" t="inlineStr">
        <is>
          <t>Star Wars</t>
        </is>
      </c>
      <c r="D305" s="6" t="inlineStr">
        <is>
          <t>2026-12-31</t>
        </is>
      </c>
      <c r="E305" s="6" t="inlineStr">
        <is>
          <t>TAK</t>
        </is>
      </c>
    </row>
    <row r="306">
      <c r="A306" s="4" t="inlineStr">
        <is>
          <t>75412</t>
        </is>
      </c>
      <c r="B306" s="5" t="inlineStr">
        <is>
          <t>Death Trooper &amp; Night Trooper Battle Pack</t>
        </is>
      </c>
      <c r="C306" s="4" t="inlineStr">
        <is>
          <t>Star Wars</t>
        </is>
      </c>
      <c r="D306" s="4" t="inlineStr">
        <is>
          <t>2026-12-31</t>
        </is>
      </c>
      <c r="E306" s="4" t="inlineStr">
        <is>
          <t>TAK</t>
        </is>
      </c>
    </row>
    <row r="307">
      <c r="A307" s="6" t="inlineStr">
        <is>
          <t>75413</t>
        </is>
      </c>
      <c r="B307" s="7" t="inlineStr">
        <is>
          <t>Republic Juggernaut</t>
        </is>
      </c>
      <c r="C307" s="6" t="inlineStr">
        <is>
          <t>Star Wars</t>
        </is>
      </c>
      <c r="D307" s="6" t="inlineStr">
        <is>
          <t>2026-12-31</t>
        </is>
      </c>
      <c r="E307" s="6" t="inlineStr">
        <is>
          <t>TAK</t>
        </is>
      </c>
    </row>
    <row r="308">
      <c r="A308" s="4" t="inlineStr">
        <is>
          <t>75414</t>
        </is>
      </c>
      <c r="B308" s="5" t="inlineStr">
        <is>
          <t>The Force Burner Snowspeeder</t>
        </is>
      </c>
      <c r="C308" s="4" t="inlineStr">
        <is>
          <t>Star Wars</t>
        </is>
      </c>
      <c r="D308" s="4" t="inlineStr">
        <is>
          <t>2026-12-31</t>
        </is>
      </c>
      <c r="E308" s="4" t="inlineStr">
        <is>
          <t>TAK</t>
        </is>
      </c>
    </row>
    <row r="309">
      <c r="A309" s="6" t="inlineStr">
        <is>
          <t>75415</t>
        </is>
      </c>
      <c r="B309" s="7" t="inlineStr">
        <is>
          <t>Kylo Ren Helmet</t>
        </is>
      </c>
      <c r="C309" s="6" t="inlineStr">
        <is>
          <t>Star Wars</t>
        </is>
      </c>
      <c r="D309" s="6" t="inlineStr">
        <is>
          <t>2026-12-31</t>
        </is>
      </c>
      <c r="E309" s="6" t="inlineStr">
        <is>
          <t>TAK</t>
        </is>
      </c>
    </row>
    <row r="310">
      <c r="A310" s="4" t="inlineStr">
        <is>
          <t>75428</t>
        </is>
      </c>
      <c r="B310" s="5" t="inlineStr">
        <is>
          <t>Battle Droid with STAP</t>
        </is>
      </c>
      <c r="C310" s="4" t="inlineStr">
        <is>
          <t>Star Wars</t>
        </is>
      </c>
      <c r="D310" s="4" t="inlineStr">
        <is>
          <t>2026-12-31</t>
        </is>
      </c>
      <c r="E310" s="4" t="inlineStr">
        <is>
          <t>TAK</t>
        </is>
      </c>
    </row>
    <row r="311">
      <c r="A311" s="6" t="inlineStr">
        <is>
          <t>75429</t>
        </is>
      </c>
      <c r="B311" s="7" t="inlineStr">
        <is>
          <t>AT-AT Driver Helmet</t>
        </is>
      </c>
      <c r="C311" s="6" t="inlineStr">
        <is>
          <t>Star Wars</t>
        </is>
      </c>
      <c r="D311" s="6" t="inlineStr">
        <is>
          <t>2026-12-31</t>
        </is>
      </c>
      <c r="E311" s="6" t="inlineStr">
        <is>
          <t>TAK</t>
        </is>
      </c>
    </row>
    <row r="312">
      <c r="A312" s="4" t="inlineStr">
        <is>
          <t>75430</t>
        </is>
      </c>
      <c r="B312" s="5" t="inlineStr">
        <is>
          <t>Wicket the Ewok</t>
        </is>
      </c>
      <c r="C312" s="4" t="inlineStr">
        <is>
          <t>Star Wars</t>
        </is>
      </c>
      <c r="D312" s="4" t="inlineStr">
        <is>
          <t>2026-12-31</t>
        </is>
      </c>
      <c r="E312" s="4" t="inlineStr">
        <is>
          <t>TAK</t>
        </is>
      </c>
    </row>
    <row r="313">
      <c r="A313" s="6" t="inlineStr">
        <is>
          <t>75435</t>
        </is>
      </c>
      <c r="B313" s="7" t="inlineStr">
        <is>
          <t>Battle of Felucia Separatist MTT</t>
        </is>
      </c>
      <c r="C313" s="6" t="inlineStr">
        <is>
          <t>Star Wars</t>
        </is>
      </c>
      <c r="D313" s="6" t="inlineStr">
        <is>
          <t>2026-12-31</t>
        </is>
      </c>
      <c r="E313" s="6" t="inlineStr">
        <is>
          <t>TAK</t>
        </is>
      </c>
    </row>
    <row r="314">
      <c r="A314" s="4" t="inlineStr">
        <is>
          <t>75456</t>
        </is>
      </c>
      <c r="B314" s="5" t="inlineStr">
        <is>
          <t>LEGO Star Wars Advent Calendar 2026</t>
        </is>
      </c>
      <c r="C314" s="4" t="inlineStr">
        <is>
          <t>Star Wars</t>
        </is>
      </c>
      <c r="D314" s="4" t="inlineStr">
        <is>
          <t>2026-12-31</t>
        </is>
      </c>
      <c r="E314" s="4" t="inlineStr">
        <is>
          <t>TAK</t>
        </is>
      </c>
    </row>
    <row r="315">
      <c r="A315" s="6" t="inlineStr">
        <is>
          <t>30735</t>
        </is>
      </c>
      <c r="B315" s="7" t="inlineStr">
        <is>
          <t>Hot Rod Car (Polybag)</t>
        </is>
      </c>
      <c r="C315" s="6" t="inlineStr">
        <is>
          <t>Technic</t>
        </is>
      </c>
      <c r="D315" s="6" t="inlineStr">
        <is>
          <t>2026-12-31</t>
        </is>
      </c>
      <c r="E315" s="6" t="inlineStr">
        <is>
          <t>TAK</t>
        </is>
      </c>
    </row>
    <row r="316">
      <c r="A316" s="4" t="inlineStr">
        <is>
          <t>30736</t>
        </is>
      </c>
      <c r="B316" s="5" t="inlineStr">
        <is>
          <t>White Seaplane (Polybag)</t>
        </is>
      </c>
      <c r="C316" s="4" t="inlineStr">
        <is>
          <t>Technic</t>
        </is>
      </c>
      <c r="D316" s="4" t="inlineStr">
        <is>
          <t>2026-12-31</t>
        </is>
      </c>
      <c r="E316" s="4" t="inlineStr">
        <is>
          <t>TAK</t>
        </is>
      </c>
    </row>
    <row r="317">
      <c r="A317" s="6" t="inlineStr">
        <is>
          <t>42154</t>
        </is>
      </c>
      <c r="B317" s="7" t="inlineStr">
        <is>
          <t>2022 Ford GT</t>
        </is>
      </c>
      <c r="C317" s="6" t="inlineStr">
        <is>
          <t>Technic</t>
        </is>
      </c>
      <c r="D317" s="6" t="inlineStr">
        <is>
          <t>2026-12-31</t>
        </is>
      </c>
      <c r="E317" s="6" t="inlineStr">
        <is>
          <t>TAK</t>
        </is>
      </c>
    </row>
    <row r="318">
      <c r="A318" s="4" t="inlineStr">
        <is>
          <t>42170</t>
        </is>
      </c>
      <c r="B318" s="5" t="inlineStr">
        <is>
          <t>Kawasaki Ninja H2R</t>
        </is>
      </c>
      <c r="C318" s="4" t="inlineStr">
        <is>
          <t>Technic</t>
        </is>
      </c>
      <c r="D318" s="4" t="inlineStr">
        <is>
          <t>2026-12-31</t>
        </is>
      </c>
      <c r="E318" s="4" t="inlineStr">
        <is>
          <t>TAK</t>
        </is>
      </c>
    </row>
    <row r="319">
      <c r="A319" s="6" t="inlineStr">
        <is>
          <t>42171</t>
        </is>
      </c>
      <c r="B319" s="7" t="inlineStr">
        <is>
          <t>Mercedes-AMG F1 W14 E Performance</t>
        </is>
      </c>
      <c r="C319" s="6" t="inlineStr">
        <is>
          <t>Technic</t>
        </is>
      </c>
      <c r="D319" s="6" t="inlineStr">
        <is>
          <t>2026-12-31</t>
        </is>
      </c>
      <c r="E319" s="6" t="inlineStr">
        <is>
          <t>TAK</t>
        </is>
      </c>
    </row>
    <row r="320">
      <c r="A320" s="4" t="inlineStr">
        <is>
          <t>42173</t>
        </is>
      </c>
      <c r="B320" s="5" t="inlineStr">
        <is>
          <t>Koenigsegg Jesko Absolut Grey Hypercar</t>
        </is>
      </c>
      <c r="C320" s="4" t="inlineStr">
        <is>
          <t>Technic</t>
        </is>
      </c>
      <c r="D320" s="4" t="inlineStr">
        <is>
          <t>2026-12-31</t>
        </is>
      </c>
      <c r="E320" s="4" t="inlineStr">
        <is>
          <t>TAK</t>
        </is>
      </c>
    </row>
    <row r="321">
      <c r="A321" s="6" t="inlineStr">
        <is>
          <t>42175</t>
        </is>
      </c>
      <c r="B321" s="7" t="inlineStr">
        <is>
          <t>Volvo FMX Truck &amp; EC230 Electric Excavator</t>
        </is>
      </c>
      <c r="C321" s="6" t="inlineStr">
        <is>
          <t>Technic</t>
        </is>
      </c>
      <c r="D321" s="6" t="inlineStr">
        <is>
          <t>2026-12-31</t>
        </is>
      </c>
      <c r="E321" s="6" t="inlineStr">
        <is>
          <t>TAK</t>
        </is>
      </c>
    </row>
    <row r="322">
      <c r="A322" s="4" t="inlineStr">
        <is>
          <t>42176</t>
        </is>
      </c>
      <c r="B322" s="5" t="inlineStr">
        <is>
          <t>Porsche GT4 e-Performance Race Car</t>
        </is>
      </c>
      <c r="C322" s="4" t="inlineStr">
        <is>
          <t>Technic</t>
        </is>
      </c>
      <c r="D322" s="4" t="inlineStr">
        <is>
          <t>2026-12-31</t>
        </is>
      </c>
      <c r="E322" s="4" t="inlineStr">
        <is>
          <t>TAK</t>
        </is>
      </c>
    </row>
    <row r="323">
      <c r="A323" s="6" t="inlineStr">
        <is>
          <t>42177</t>
        </is>
      </c>
      <c r="B323" s="7" t="inlineStr">
        <is>
          <t>Mercedes-Benz G 500 PROFESSIONAL Line</t>
        </is>
      </c>
      <c r="C323" s="6" t="inlineStr">
        <is>
          <t>Technic</t>
        </is>
      </c>
      <c r="D323" s="6" t="inlineStr">
        <is>
          <t>2026-12-31</t>
        </is>
      </c>
      <c r="E323" s="6" t="inlineStr">
        <is>
          <t>TAK</t>
        </is>
      </c>
    </row>
    <row r="324">
      <c r="A324" s="4" t="inlineStr">
        <is>
          <t>42179</t>
        </is>
      </c>
      <c r="B324" s="5" t="inlineStr">
        <is>
          <t>Planet Earth and Moon in Orbit</t>
        </is>
      </c>
      <c r="C324" s="4" t="inlineStr">
        <is>
          <t>Technic</t>
        </is>
      </c>
      <c r="D324" s="4" t="inlineStr">
        <is>
          <t>2026-12-31</t>
        </is>
      </c>
      <c r="E324" s="4" t="inlineStr">
        <is>
          <t>TAK</t>
        </is>
      </c>
    </row>
    <row r="325">
      <c r="A325" s="6" t="inlineStr">
        <is>
          <t>42197</t>
        </is>
      </c>
      <c r="B325" s="7" t="inlineStr">
        <is>
          <t>Backhoe Loader</t>
        </is>
      </c>
      <c r="C325" s="6" t="inlineStr">
        <is>
          <t>Technic</t>
        </is>
      </c>
      <c r="D325" s="6" t="inlineStr">
        <is>
          <t>2026-12-31</t>
        </is>
      </c>
      <c r="E325" s="6" t="inlineStr">
        <is>
          <t>TAK</t>
        </is>
      </c>
    </row>
    <row r="326">
      <c r="A326" s="4" t="inlineStr">
        <is>
          <t>42198</t>
        </is>
      </c>
      <c r="B326" s="5" t="inlineStr">
        <is>
          <t>Bush Plane</t>
        </is>
      </c>
      <c r="C326" s="4" t="inlineStr">
        <is>
          <t>Technic</t>
        </is>
      </c>
      <c r="D326" s="4" t="inlineStr">
        <is>
          <t>2026-12-31</t>
        </is>
      </c>
      <c r="E326" s="4" t="inlineStr">
        <is>
          <t>TAK</t>
        </is>
      </c>
    </row>
    <row r="327">
      <c r="A327" s="6" t="inlineStr">
        <is>
          <t>42199</t>
        </is>
      </c>
      <c r="B327" s="7" t="inlineStr">
        <is>
          <t>Monster Jam DIGatron Pull-Back</t>
        </is>
      </c>
      <c r="C327" s="6" t="inlineStr">
        <is>
          <t>Technic</t>
        </is>
      </c>
      <c r="D327" s="6" t="inlineStr">
        <is>
          <t>2026-12-31</t>
        </is>
      </c>
      <c r="E327" s="6" t="inlineStr">
        <is>
          <t>TAK</t>
        </is>
      </c>
    </row>
    <row r="328">
      <c r="A328" s="4" t="inlineStr">
        <is>
          <t>42200</t>
        </is>
      </c>
      <c r="B328" s="5" t="inlineStr">
        <is>
          <t>Monster Jam ThunderROARus Pull-Back</t>
        </is>
      </c>
      <c r="C328" s="4" t="inlineStr">
        <is>
          <t>Technic</t>
        </is>
      </c>
      <c r="D328" s="4" t="inlineStr">
        <is>
          <t>2026-12-31</t>
        </is>
      </c>
      <c r="E328" s="4" t="inlineStr">
        <is>
          <t>TAK</t>
        </is>
      </c>
    </row>
    <row r="329">
      <c r="A329" s="6" t="inlineStr">
        <is>
          <t>42201</t>
        </is>
      </c>
      <c r="B329" s="7" t="inlineStr">
        <is>
          <t>Deep-Sea Research Submarine</t>
        </is>
      </c>
      <c r="C329" s="6" t="inlineStr">
        <is>
          <t>Technic</t>
        </is>
      </c>
      <c r="D329" s="6" t="inlineStr">
        <is>
          <t>2026-12-31</t>
        </is>
      </c>
      <c r="E329" s="6" t="inlineStr">
        <is>
          <t>TAK</t>
        </is>
      </c>
    </row>
    <row r="330">
      <c r="A330" s="4" t="inlineStr">
        <is>
          <t>42202</t>
        </is>
      </c>
      <c r="B330" s="5" t="inlineStr">
        <is>
          <t>Ducati Panigale V4 S Motorcycle</t>
        </is>
      </c>
      <c r="C330" s="4" t="inlineStr">
        <is>
          <t>Technic</t>
        </is>
      </c>
      <c r="D330" s="4" t="inlineStr">
        <is>
          <t>2026-12-31</t>
        </is>
      </c>
      <c r="E330" s="4" t="inlineStr">
        <is>
          <t>TAK</t>
        </is>
      </c>
    </row>
    <row r="331">
      <c r="A331" s="6" t="inlineStr">
        <is>
          <t>42203</t>
        </is>
      </c>
      <c r="B331" s="7" t="inlineStr">
        <is>
          <t>Tipping Dump Truck</t>
        </is>
      </c>
      <c r="C331" s="6" t="inlineStr">
        <is>
          <t>Technic</t>
        </is>
      </c>
      <c r="D331" s="6" t="inlineStr">
        <is>
          <t>2026-12-31</t>
        </is>
      </c>
      <c r="E331" s="6" t="inlineStr">
        <is>
          <t>TAK</t>
        </is>
      </c>
    </row>
    <row r="332">
      <c r="A332" s="4" t="inlineStr">
        <is>
          <t>42204</t>
        </is>
      </c>
      <c r="B332" s="5" t="inlineStr">
        <is>
          <t>Fast &amp; Furious Toyota Supra MK4</t>
        </is>
      </c>
      <c r="C332" s="4" t="inlineStr">
        <is>
          <t>Technic</t>
        </is>
      </c>
      <c r="D332" s="4" t="inlineStr">
        <is>
          <t>2026-12-31</t>
        </is>
      </c>
      <c r="E332" s="4" t="inlineStr">
        <is>
          <t>TAK</t>
        </is>
      </c>
    </row>
    <row r="333">
      <c r="A333" s="6" t="inlineStr">
        <is>
          <t>42205</t>
        </is>
      </c>
      <c r="B333" s="7" t="inlineStr">
        <is>
          <t>Chevrolet Corvette Stingray (Yellow)</t>
        </is>
      </c>
      <c r="C333" s="6" t="inlineStr">
        <is>
          <t>Technic</t>
        </is>
      </c>
      <c r="D333" s="6" t="inlineStr">
        <is>
          <t>2026-12-31</t>
        </is>
      </c>
      <c r="E333" s="6" t="inlineStr">
        <is>
          <t>TAK</t>
        </is>
      </c>
    </row>
    <row r="334">
      <c r="A334" s="4" t="inlineStr">
        <is>
          <t>42208</t>
        </is>
      </c>
      <c r="B334" s="5" t="inlineStr">
        <is>
          <t>Aston Martin Valkyrie</t>
        </is>
      </c>
      <c r="C334" s="4" t="inlineStr">
        <is>
          <t>Technic</t>
        </is>
      </c>
      <c r="D334" s="4" t="inlineStr">
        <is>
          <t>2026-12-31</t>
        </is>
      </c>
      <c r="E334" s="4" t="inlineStr">
        <is>
          <t>TAK</t>
        </is>
      </c>
    </row>
    <row r="335">
      <c r="A335" s="6" t="inlineStr">
        <is>
          <t>42209</t>
        </is>
      </c>
      <c r="B335" s="7" t="inlineStr">
        <is>
          <t>Volvo L120 Electric Wheel Loader</t>
        </is>
      </c>
      <c r="C335" s="6" t="inlineStr">
        <is>
          <t>Technic</t>
        </is>
      </c>
      <c r="D335" s="6" t="inlineStr">
        <is>
          <t>2026-12-31</t>
        </is>
      </c>
      <c r="E335" s="6" t="inlineStr">
        <is>
          <t>TAK</t>
        </is>
      </c>
    </row>
    <row r="336">
      <c r="A336" s="4" t="inlineStr">
        <is>
          <t>42215</t>
        </is>
      </c>
      <c r="B336" s="5" t="inlineStr">
        <is>
          <t>Volvo EC500 Hybrid</t>
        </is>
      </c>
      <c r="C336" s="4" t="inlineStr">
        <is>
          <t>Technic</t>
        </is>
      </c>
      <c r="D336" s="4" t="inlineStr">
        <is>
          <t>2026-12-31</t>
        </is>
      </c>
      <c r="E336" s="4" t="inlineStr">
        <is>
          <t>TAK</t>
        </is>
      </c>
    </row>
    <row r="337">
      <c r="A337" s="6" t="inlineStr">
        <is>
          <t>42217</t>
        </is>
      </c>
      <c r="B337" s="7" t="inlineStr">
        <is>
          <t>Chevrolet Corvette Stingray (Blue)</t>
        </is>
      </c>
      <c r="C337" s="6" t="inlineStr">
        <is>
          <t>Technic</t>
        </is>
      </c>
      <c r="D337" s="6" t="inlineStr">
        <is>
          <t>2026-12-31</t>
        </is>
      </c>
      <c r="E337" s="6" t="inlineStr">
        <is>
          <t>TAK</t>
        </is>
      </c>
    </row>
    <row r="338">
      <c r="A338" s="4" t="inlineStr">
        <is>
          <t>42233</t>
        </is>
      </c>
      <c r="B338" s="5" t="inlineStr">
        <is>
          <t>Mighty Machines Series 1</t>
        </is>
      </c>
      <c r="C338" s="4" t="inlineStr">
        <is>
          <t>Technic</t>
        </is>
      </c>
      <c r="D338" s="4" t="inlineStr">
        <is>
          <t>2026-12-31</t>
        </is>
      </c>
      <c r="E338" s="4" t="inlineStr">
        <is>
          <t>TAK</t>
        </is>
      </c>
    </row>
    <row r="339">
      <c r="A339" s="6" t="inlineStr">
        <is>
          <t>76784</t>
        </is>
      </c>
      <c r="B339" s="7" t="inlineStr">
        <is>
          <t>Black Dahlia Flower</t>
        </is>
      </c>
      <c r="C339" s="6" t="inlineStr">
        <is>
          <t>Wednesday</t>
        </is>
      </c>
      <c r="D339" s="6" t="inlineStr">
        <is>
          <t>2026-12-31</t>
        </is>
      </c>
      <c r="E339" s="6" t="inlineStr">
        <is>
          <t>TAK</t>
        </is>
      </c>
    </row>
    <row r="340">
      <c r="A340" s="4" t="inlineStr">
        <is>
          <t>76786</t>
        </is>
      </c>
      <c r="B340" s="5" t="inlineStr">
        <is>
          <t>Morticia's Cottage</t>
        </is>
      </c>
      <c r="C340" s="4" t="inlineStr">
        <is>
          <t>Wednesday</t>
        </is>
      </c>
      <c r="D340" s="4" t="inlineStr">
        <is>
          <t>2026-12-31</t>
        </is>
      </c>
      <c r="E340" s="4" t="inlineStr">
        <is>
          <t>TAK</t>
        </is>
      </c>
    </row>
    <row r="341">
      <c r="A341" s="6" t="inlineStr">
        <is>
          <t>75684</t>
        </is>
      </c>
      <c r="B341" s="7" t="inlineStr">
        <is>
          <t>Welcome to Emerald City</t>
        </is>
      </c>
      <c r="C341" s="6" t="inlineStr">
        <is>
          <t>Wicked</t>
        </is>
      </c>
      <c r="D341" s="6" t="inlineStr">
        <is>
          <t>2026-12-31</t>
        </is>
      </c>
      <c r="E341" s="6" t="inlineStr">
        <is>
          <t>TAK</t>
        </is>
      </c>
    </row>
    <row r="342">
      <c r="A342" s="4" t="inlineStr">
        <is>
          <t>75685</t>
        </is>
      </c>
      <c r="B342" s="5" t="inlineStr">
        <is>
          <t>Emerald City Wall Art</t>
        </is>
      </c>
      <c r="C342" s="4" t="inlineStr">
        <is>
          <t>Wicked</t>
        </is>
      </c>
      <c r="D342" s="4" t="inlineStr">
        <is>
          <t>2026-12-31</t>
        </is>
      </c>
      <c r="E342" s="4" t="inlineStr">
        <is>
          <t>TAK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2" customWidth="1" min="3" max="3"/>
    <col width="22" customWidth="1" min="4" max="4"/>
    <col width="20" customWidth="1" min="5" max="5"/>
    <col width="14" customWidth="1" min="6" max="6"/>
    <col width="16" customWidth="1" min="7" max="7"/>
    <col width="10" customWidth="1" min="8" max="8"/>
  </cols>
  <sheetData>
    <row r="1" ht="32" customHeight="1">
      <c r="A1" s="1" t="inlineStr">
        <is>
          <t>DANE DZIENNE  –  uzupełniane automatycznie przez skrypt każdego dnia</t>
        </is>
      </c>
    </row>
    <row r="2" ht="18" customHeight="1">
      <c r="A2" s="2" t="inlineStr">
        <is>
          <t>➤  Nie edytuj tego arkusza ręcznie. Skrypt dopisuje tu nowy wiersz każdego dnia – stare dane są zachowywane.</t>
        </is>
      </c>
    </row>
    <row r="3" ht="28" customHeight="1">
      <c r="A3" s="3" t="inlineStr">
        <is>
          <t>Data</t>
        </is>
      </c>
      <c r="B3" s="3" t="inlineStr">
        <is>
          <t>Nr setu</t>
        </is>
      </c>
      <c r="C3" s="3" t="inlineStr">
        <is>
          <t>Nazwa zestawu</t>
        </is>
      </c>
      <c r="D3" s="3" t="inlineStr">
        <is>
          <t>Seria LEGO</t>
        </is>
      </c>
      <c r="E3" s="3" t="inlineStr">
        <is>
          <t>Najniższa cena (PLN)</t>
        </is>
      </c>
      <c r="F3" s="3" t="inlineStr">
        <is>
          <t>Liczba ofert</t>
        </is>
      </c>
      <c r="G3" s="3" t="inlineStr">
        <is>
          <t>Kupiło ostatnio</t>
        </is>
      </c>
      <c r="H3" s="3" t="inlineStr">
        <is>
          <t>Status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20" customWidth="1" min="4" max="4"/>
    <col width="20" customWidth="1" min="5" max="5"/>
    <col width="16" customWidth="1" min="6" max="6"/>
    <col width="20" customWidth="1" min="7" max="7"/>
  </cols>
  <sheetData>
    <row r="1" ht="32" customHeight="1">
      <c r="A1" s="1" t="inlineStr">
        <is>
          <t>PODSUMOWANIE OSTATNICH 30 DNI  –  formuły aktualizują się automatycznie</t>
        </is>
      </c>
    </row>
    <row r="2" ht="18" customHeight="1">
      <c r="A2" s="2" t="inlineStr">
        <is>
          <t>➤  Dane obliczane automatycznie z arkusza 'Dane dzienne'. Nie wymaga edycji.</t>
        </is>
      </c>
    </row>
    <row r="3" ht="28" customHeight="1">
      <c r="A3" s="3" t="inlineStr">
        <is>
          <t>Nr setu</t>
        </is>
      </c>
      <c r="B3" s="3" t="inlineStr">
        <is>
          <t>Nazwa zestawu</t>
        </is>
      </c>
      <c r="C3" s="3" t="inlineStr">
        <is>
          <t>Seria LEGO</t>
        </is>
      </c>
      <c r="D3" s="3" t="inlineStr">
        <is>
          <t>Min cena 30 dni (PLN)</t>
        </is>
      </c>
      <c r="E3" s="3" t="inlineStr">
        <is>
          <t>Śr. cena 30 dni (PLN)</t>
        </is>
      </c>
      <c r="F3" s="3" t="inlineStr">
        <is>
          <t>Śr. liczba ofert</t>
        </is>
      </c>
      <c r="G3" s="3" t="inlineStr">
        <is>
          <t>Maks. kupiło ostatnio</t>
        </is>
      </c>
    </row>
    <row r="4">
      <c r="A4" s="4" t="inlineStr">
        <is>
          <t>30731</t>
        </is>
      </c>
      <c r="B4" s="5" t="inlineStr">
        <is>
          <t>Tom Nook and Flying Present (Polybag)</t>
        </is>
      </c>
      <c r="C4" s="4" t="inlineStr">
        <is>
          <t>Animal Crossing</t>
        </is>
      </c>
      <c r="D4" s="8">
        <f>IFERROR(MINIFS('Dane dzienne'!E:E,'Dane dzienne'!B:B,A4),"-")</f>
        <v/>
      </c>
      <c r="E4" s="8">
        <f>IFERROR(ROUND(AVERAGEIF('Dane dzienne'!B:B,A4,'Dane dzienne'!E:E),2),"-")</f>
        <v/>
      </c>
      <c r="F4" s="4">
        <f>IFERROR(ROUND(AVERAGEIF('Dane dzienne'!B:B,A4,'Dane dzienne'!F:F),0),"-")</f>
        <v/>
      </c>
      <c r="G4" s="4">
        <f>IFERROR(MAXIFS('Dane dzienne'!G:G,'Dane dzienne'!B:B,A4),"-")</f>
        <v/>
      </c>
    </row>
    <row r="5">
      <c r="A5" s="6" t="inlineStr">
        <is>
          <t>77053</t>
        </is>
      </c>
      <c r="B5" s="7" t="inlineStr">
        <is>
          <t>Stargazing with Celeste</t>
        </is>
      </c>
      <c r="C5" s="6" t="inlineStr">
        <is>
          <t>Animal Crossing</t>
        </is>
      </c>
      <c r="D5" s="9">
        <f>IFERROR(MINIFS('Dane dzienne'!E:E,'Dane dzienne'!B:B,A5),"-")</f>
        <v/>
      </c>
      <c r="E5" s="9">
        <f>IFERROR(ROUND(AVERAGEIF('Dane dzienne'!B:B,A5,'Dane dzienne'!E:E),2),"-")</f>
        <v/>
      </c>
      <c r="F5" s="6">
        <f>IFERROR(ROUND(AVERAGEIF('Dane dzienne'!B:B,A5,'Dane dzienne'!F:F),0),"-")</f>
        <v/>
      </c>
      <c r="G5" s="6">
        <f>IFERROR(MAXIFS('Dane dzienne'!G:G,'Dane dzienne'!B:B,A5),"-")</f>
        <v/>
      </c>
    </row>
    <row r="6">
      <c r="A6" s="4" t="inlineStr">
        <is>
          <t>77056</t>
        </is>
      </c>
      <c r="B6" s="5" t="inlineStr">
        <is>
          <t>Blathers's Museum Collection</t>
        </is>
      </c>
      <c r="C6" s="4" t="inlineStr">
        <is>
          <t>Animal Crossing</t>
        </is>
      </c>
      <c r="D6" s="8">
        <f>IFERROR(MINIFS('Dane dzienne'!E:E,'Dane dzienne'!B:B,A6),"-")</f>
        <v/>
      </c>
      <c r="E6" s="8">
        <f>IFERROR(ROUND(AVERAGEIF('Dane dzienne'!B:B,A6,'Dane dzienne'!E:E),2),"-")</f>
        <v/>
      </c>
      <c r="F6" s="4">
        <f>IFERROR(ROUND(AVERAGEIF('Dane dzienne'!B:B,A6,'Dane dzienne'!F:F),0),"-")</f>
        <v/>
      </c>
      <c r="G6" s="4">
        <f>IFERROR(MAXIFS('Dane dzienne'!G:G,'Dane dzienne'!B:B,A6),"-")</f>
        <v/>
      </c>
    </row>
    <row r="7">
      <c r="A7" s="6" t="inlineStr">
        <is>
          <t>77058</t>
        </is>
      </c>
      <c r="B7" s="7" t="inlineStr">
        <is>
          <t>Goldie's Cosy House</t>
        </is>
      </c>
      <c r="C7" s="6" t="inlineStr">
        <is>
          <t>Animal Crossing</t>
        </is>
      </c>
      <c r="D7" s="9">
        <f>IFERROR(MINIFS('Dane dzienne'!E:E,'Dane dzienne'!B:B,A7),"-")</f>
        <v/>
      </c>
      <c r="E7" s="9">
        <f>IFERROR(ROUND(AVERAGEIF('Dane dzienne'!B:B,A7,'Dane dzienne'!E:E),2),"-")</f>
        <v/>
      </c>
      <c r="F7" s="6">
        <f>IFERROR(ROUND(AVERAGEIF('Dane dzienne'!B:B,A7,'Dane dzienne'!F:F),0),"-")</f>
        <v/>
      </c>
      <c r="G7" s="6">
        <f>IFERROR(MAXIFS('Dane dzienne'!G:G,'Dane dzienne'!B:B,A7),"-")</f>
        <v/>
      </c>
    </row>
    <row r="8">
      <c r="A8" s="4" t="inlineStr">
        <is>
          <t>21060</t>
        </is>
      </c>
      <c r="B8" s="5" t="inlineStr">
        <is>
          <t>Himeji Castle</t>
        </is>
      </c>
      <c r="C8" s="4" t="inlineStr">
        <is>
          <t>Architecture</t>
        </is>
      </c>
      <c r="D8" s="8">
        <f>IFERROR(MINIFS('Dane dzienne'!E:E,'Dane dzienne'!B:B,A8),"-")</f>
        <v/>
      </c>
      <c r="E8" s="8">
        <f>IFERROR(ROUND(AVERAGEIF('Dane dzienne'!B:B,A8,'Dane dzienne'!E:E),2),"-")</f>
        <v/>
      </c>
      <c r="F8" s="4">
        <f>IFERROR(ROUND(AVERAGEIF('Dane dzienne'!B:B,A8,'Dane dzienne'!F:F),0),"-")</f>
        <v/>
      </c>
      <c r="G8" s="4">
        <f>IFERROR(MAXIFS('Dane dzienne'!G:G,'Dane dzienne'!B:B,A8),"-")</f>
        <v/>
      </c>
    </row>
    <row r="9">
      <c r="A9" s="6" t="inlineStr">
        <is>
          <t>31216</t>
        </is>
      </c>
      <c r="B9" s="7" t="inlineStr">
        <is>
          <t>Keith Haring - Dancing Figures</t>
        </is>
      </c>
      <c r="C9" s="6" t="inlineStr">
        <is>
          <t>Art</t>
        </is>
      </c>
      <c r="D9" s="9">
        <f>IFERROR(MINIFS('Dane dzienne'!E:E,'Dane dzienne'!B:B,A9),"-")</f>
        <v/>
      </c>
      <c r="E9" s="9">
        <f>IFERROR(ROUND(AVERAGEIF('Dane dzienne'!B:B,A9,'Dane dzienne'!E:E),2),"-")</f>
        <v/>
      </c>
      <c r="F9" s="6">
        <f>IFERROR(ROUND(AVERAGEIF('Dane dzienne'!B:B,A9,'Dane dzienne'!F:F),0),"-")</f>
        <v/>
      </c>
      <c r="G9" s="6">
        <f>IFERROR(MAXIFS('Dane dzienne'!G:G,'Dane dzienne'!B:B,A9),"-")</f>
        <v/>
      </c>
    </row>
    <row r="10">
      <c r="A10" s="4" t="inlineStr">
        <is>
          <t>11201</t>
        </is>
      </c>
      <c r="B10" s="5" t="inlineStr">
        <is>
          <t>Playground Fun with Bluey and Chloe</t>
        </is>
      </c>
      <c r="C10" s="4" t="inlineStr">
        <is>
          <t>Bluey</t>
        </is>
      </c>
      <c r="D10" s="8">
        <f>IFERROR(MINIFS('Dane dzienne'!E:E,'Dane dzienne'!B:B,A10),"-")</f>
        <v/>
      </c>
      <c r="E10" s="8">
        <f>IFERROR(ROUND(AVERAGEIF('Dane dzienne'!B:B,A10,'Dane dzienne'!E:E),2),"-")</f>
        <v/>
      </c>
      <c r="F10" s="4">
        <f>IFERROR(ROUND(AVERAGEIF('Dane dzienne'!B:B,A10,'Dane dzienne'!F:F),0),"-")</f>
        <v/>
      </c>
      <c r="G10" s="4">
        <f>IFERROR(MAXIFS('Dane dzienne'!G:G,'Dane dzienne'!B:B,A10),"-")</f>
        <v/>
      </c>
    </row>
    <row r="11">
      <c r="A11" s="6" t="inlineStr">
        <is>
          <t>11202</t>
        </is>
      </c>
      <c r="B11" s="7" t="inlineStr">
        <is>
          <t>Bluey's Beach &amp; Family Car Trip</t>
        </is>
      </c>
      <c r="C11" s="6" t="inlineStr">
        <is>
          <t>Bluey</t>
        </is>
      </c>
      <c r="D11" s="9">
        <f>IFERROR(MINIFS('Dane dzienne'!E:E,'Dane dzienne'!B:B,A11),"-")</f>
        <v/>
      </c>
      <c r="E11" s="9">
        <f>IFERROR(ROUND(AVERAGEIF('Dane dzienne'!B:B,A11,'Dane dzienne'!E:E),2),"-")</f>
        <v/>
      </c>
      <c r="F11" s="6">
        <f>IFERROR(ROUND(AVERAGEIF('Dane dzienne'!B:B,A11,'Dane dzienne'!F:F),0),"-")</f>
        <v/>
      </c>
      <c r="G11" s="6">
        <f>IFERROR(MAXIFS('Dane dzienne'!G:G,'Dane dzienne'!B:B,A11),"-")</f>
        <v/>
      </c>
    </row>
    <row r="12">
      <c r="A12" s="4" t="inlineStr">
        <is>
          <t>30687</t>
        </is>
      </c>
      <c r="B12" s="5" t="inlineStr">
        <is>
          <t>Bluey Tea Party (Polybag)</t>
        </is>
      </c>
      <c r="C12" s="4" t="inlineStr">
        <is>
          <t>Bluey</t>
        </is>
      </c>
      <c r="D12" s="8">
        <f>IFERROR(MINIFS('Dane dzienne'!E:E,'Dane dzienne'!B:B,A12),"-")</f>
        <v/>
      </c>
      <c r="E12" s="8">
        <f>IFERROR(ROUND(AVERAGEIF('Dane dzienne'!B:B,A12,'Dane dzienne'!E:E),2),"-")</f>
        <v/>
      </c>
      <c r="F12" s="4">
        <f>IFERROR(ROUND(AVERAGEIF('Dane dzienne'!B:B,A12,'Dane dzienne'!F:F),0),"-")</f>
        <v/>
      </c>
      <c r="G12" s="4">
        <f>IFERROR(MAXIFS('Dane dzienne'!G:G,'Dane dzienne'!B:B,A12),"-")</f>
        <v/>
      </c>
    </row>
    <row r="13">
      <c r="A13" s="6" t="inlineStr">
        <is>
          <t>10345</t>
        </is>
      </c>
      <c r="B13" s="7" t="inlineStr">
        <is>
          <t>Flower Arrangement</t>
        </is>
      </c>
      <c r="C13" s="6" t="inlineStr">
        <is>
          <t>Botanical Collection</t>
        </is>
      </c>
      <c r="D13" s="9">
        <f>IFERROR(MINIFS('Dane dzienne'!E:E,'Dane dzienne'!B:B,A13),"-")</f>
        <v/>
      </c>
      <c r="E13" s="9">
        <f>IFERROR(ROUND(AVERAGEIF('Dane dzienne'!B:B,A13,'Dane dzienne'!E:E),2),"-")</f>
        <v/>
      </c>
      <c r="F13" s="6">
        <f>IFERROR(ROUND(AVERAGEIF('Dane dzienne'!B:B,A13,'Dane dzienne'!F:F),0),"-")</f>
        <v/>
      </c>
      <c r="G13" s="6">
        <f>IFERROR(MAXIFS('Dane dzienne'!G:G,'Dane dzienne'!B:B,A13),"-")</f>
        <v/>
      </c>
    </row>
    <row r="14">
      <c r="A14" s="4" t="inlineStr">
        <is>
          <t>30701</t>
        </is>
      </c>
      <c r="B14" s="5" t="inlineStr">
        <is>
          <t>Field Flowers</t>
        </is>
      </c>
      <c r="C14" s="4" t="inlineStr">
        <is>
          <t>Botanical Collection</t>
        </is>
      </c>
      <c r="D14" s="8">
        <f>IFERROR(MINIFS('Dane dzienne'!E:E,'Dane dzienne'!B:B,A14),"-")</f>
        <v/>
      </c>
      <c r="E14" s="8">
        <f>IFERROR(ROUND(AVERAGEIF('Dane dzienne'!B:B,A14,'Dane dzienne'!E:E),2),"-")</f>
        <v/>
      </c>
      <c r="F14" s="4">
        <f>IFERROR(ROUND(AVERAGEIF('Dane dzienne'!B:B,A14,'Dane dzienne'!F:F),0),"-")</f>
        <v/>
      </c>
      <c r="G14" s="4">
        <f>IFERROR(MAXIFS('Dane dzienne'!G:G,'Dane dzienne'!B:B,A14),"-")</f>
        <v/>
      </c>
    </row>
    <row r="15">
      <c r="A15" s="6" t="inlineStr">
        <is>
          <t>40725</t>
        </is>
      </c>
      <c r="B15" s="7" t="inlineStr">
        <is>
          <t>Cherry Blossoms</t>
        </is>
      </c>
      <c r="C15" s="6" t="inlineStr">
        <is>
          <t>Botanical Collection</t>
        </is>
      </c>
      <c r="D15" s="9">
        <f>IFERROR(MINIFS('Dane dzienne'!E:E,'Dane dzienne'!B:B,A15),"-")</f>
        <v/>
      </c>
      <c r="E15" s="9">
        <f>IFERROR(ROUND(AVERAGEIF('Dane dzienne'!B:B,A15,'Dane dzienne'!E:E),2),"-")</f>
        <v/>
      </c>
      <c r="F15" s="6">
        <f>IFERROR(ROUND(AVERAGEIF('Dane dzienne'!B:B,A15,'Dane dzienne'!F:F),0),"-")</f>
        <v/>
      </c>
      <c r="G15" s="6">
        <f>IFERROR(MAXIFS('Dane dzienne'!G:G,'Dane dzienne'!B:B,A15),"-")</f>
        <v/>
      </c>
    </row>
    <row r="16">
      <c r="A16" s="4" t="inlineStr">
        <is>
          <t>40674</t>
        </is>
      </c>
      <c r="B16" s="5" t="inlineStr">
        <is>
          <t>Stitch</t>
        </is>
      </c>
      <c r="C16" s="4" t="inlineStr">
        <is>
          <t>BrickHeadz</t>
        </is>
      </c>
      <c r="D16" s="8">
        <f>IFERROR(MINIFS('Dane dzienne'!E:E,'Dane dzienne'!B:B,A16),"-")</f>
        <v/>
      </c>
      <c r="E16" s="8">
        <f>IFERROR(ROUND(AVERAGEIF('Dane dzienne'!B:B,A16,'Dane dzienne'!E:E),2),"-")</f>
        <v/>
      </c>
      <c r="F16" s="4">
        <f>IFERROR(ROUND(AVERAGEIF('Dane dzienne'!B:B,A16,'Dane dzienne'!F:F),0),"-")</f>
        <v/>
      </c>
      <c r="G16" s="4">
        <f>IFERROR(MAXIFS('Dane dzienne'!G:G,'Dane dzienne'!B:B,A16),"-")</f>
        <v/>
      </c>
    </row>
    <row r="17">
      <c r="A17" s="6" t="inlineStr">
        <is>
          <t>40749</t>
        </is>
      </c>
      <c r="B17" s="7" t="inlineStr">
        <is>
          <t>Joy, Sadness &amp; Anxiety</t>
        </is>
      </c>
      <c r="C17" s="6" t="inlineStr">
        <is>
          <t>BrickHeadz</t>
        </is>
      </c>
      <c r="D17" s="9">
        <f>IFERROR(MINIFS('Dane dzienne'!E:E,'Dane dzienne'!B:B,A17),"-")</f>
        <v/>
      </c>
      <c r="E17" s="9">
        <f>IFERROR(ROUND(AVERAGEIF('Dane dzienne'!B:B,A17,'Dane dzienne'!E:E),2),"-")</f>
        <v/>
      </c>
      <c r="F17" s="6">
        <f>IFERROR(ROUND(AVERAGEIF('Dane dzienne'!B:B,A17,'Dane dzienne'!F:F),0),"-")</f>
        <v/>
      </c>
      <c r="G17" s="6">
        <f>IFERROR(MAXIFS('Dane dzienne'!G:G,'Dane dzienne'!B:B,A17),"-")</f>
        <v/>
      </c>
    </row>
    <row r="18">
      <c r="A18" s="4" t="inlineStr">
        <is>
          <t>40752</t>
        </is>
      </c>
      <c r="B18" s="5" t="inlineStr">
        <is>
          <t>Carl, Russell, &amp; Kevin</t>
        </is>
      </c>
      <c r="C18" s="4" t="inlineStr">
        <is>
          <t>BrickHeadz</t>
        </is>
      </c>
      <c r="D18" s="8">
        <f>IFERROR(MINIFS('Dane dzienne'!E:E,'Dane dzienne'!B:B,A18),"-")</f>
        <v/>
      </c>
      <c r="E18" s="8">
        <f>IFERROR(ROUND(AVERAGEIF('Dane dzienne'!B:B,A18,'Dane dzienne'!E:E),2),"-")</f>
        <v/>
      </c>
      <c r="F18" s="4">
        <f>IFERROR(ROUND(AVERAGEIF('Dane dzienne'!B:B,A18,'Dane dzienne'!F:F),0),"-")</f>
        <v/>
      </c>
      <c r="G18" s="4">
        <f>IFERROR(MAXIFS('Dane dzienne'!G:G,'Dane dzienne'!B:B,A18),"-")</f>
        <v/>
      </c>
    </row>
    <row r="19">
      <c r="A19" s="6" t="inlineStr">
        <is>
          <t>40791</t>
        </is>
      </c>
      <c r="B19" s="7" t="inlineStr">
        <is>
          <t>The Goblet of Fire Figures</t>
        </is>
      </c>
      <c r="C19" s="6" t="inlineStr">
        <is>
          <t>BrickHeadz</t>
        </is>
      </c>
      <c r="D19" s="9">
        <f>IFERROR(MINIFS('Dane dzienne'!E:E,'Dane dzienne'!B:B,A19),"-")</f>
        <v/>
      </c>
      <c r="E19" s="9">
        <f>IFERROR(ROUND(AVERAGEIF('Dane dzienne'!B:B,A19,'Dane dzienne'!E:E),2),"-")</f>
        <v/>
      </c>
      <c r="F19" s="6">
        <f>IFERROR(ROUND(AVERAGEIF('Dane dzienne'!B:B,A19,'Dane dzienne'!F:F),0),"-")</f>
        <v/>
      </c>
      <c r="G19" s="6">
        <f>IFERROR(MAXIFS('Dane dzienne'!G:G,'Dane dzienne'!B:B,A19),"-")</f>
        <v/>
      </c>
    </row>
    <row r="20">
      <c r="A20" s="4" t="inlineStr">
        <is>
          <t>40795</t>
        </is>
      </c>
      <c r="B20" s="5" t="inlineStr">
        <is>
          <t>Luke Skywalker (Rebel Pilot)</t>
        </is>
      </c>
      <c r="C20" s="4" t="inlineStr">
        <is>
          <t>BrickHeadz</t>
        </is>
      </c>
      <c r="D20" s="8">
        <f>IFERROR(MINIFS('Dane dzienne'!E:E,'Dane dzienne'!B:B,A20),"-")</f>
        <v/>
      </c>
      <c r="E20" s="8">
        <f>IFERROR(ROUND(AVERAGEIF('Dane dzienne'!B:B,A20,'Dane dzienne'!E:E),2),"-")</f>
        <v/>
      </c>
      <c r="F20" s="4">
        <f>IFERROR(ROUND(AVERAGEIF('Dane dzienne'!B:B,A20,'Dane dzienne'!F:F),0),"-")</f>
        <v/>
      </c>
      <c r="G20" s="4">
        <f>IFERROR(MAXIFS('Dane dzienne'!G:G,'Dane dzienne'!B:B,A20),"-")</f>
        <v/>
      </c>
    </row>
    <row r="21">
      <c r="A21" s="6" t="inlineStr">
        <is>
          <t>40797</t>
        </is>
      </c>
      <c r="B21" s="7" t="inlineStr">
        <is>
          <t>Eeyore</t>
        </is>
      </c>
      <c r="C21" s="6" t="inlineStr">
        <is>
          <t>BrickHeadz</t>
        </is>
      </c>
      <c r="D21" s="9">
        <f>IFERROR(MINIFS('Dane dzienne'!E:E,'Dane dzienne'!B:B,A21),"-")</f>
        <v/>
      </c>
      <c r="E21" s="9">
        <f>IFERROR(ROUND(AVERAGEIF('Dane dzienne'!B:B,A21,'Dane dzienne'!E:E),2),"-")</f>
        <v/>
      </c>
      <c r="F21" s="6">
        <f>IFERROR(ROUND(AVERAGEIF('Dane dzienne'!B:B,A21,'Dane dzienne'!F:F),0),"-")</f>
        <v/>
      </c>
      <c r="G21" s="6">
        <f>IFERROR(MAXIFS('Dane dzienne'!G:G,'Dane dzienne'!B:B,A21),"-")</f>
        <v/>
      </c>
    </row>
    <row r="22">
      <c r="A22" s="4" t="inlineStr">
        <is>
          <t>40801</t>
        </is>
      </c>
      <c r="B22" s="5" t="inlineStr">
        <is>
          <t>Mike, Dustin, Lucas and Will</t>
        </is>
      </c>
      <c r="C22" s="4" t="inlineStr">
        <is>
          <t>BrickHeadz</t>
        </is>
      </c>
      <c r="D22" s="8">
        <f>IFERROR(MINIFS('Dane dzienne'!E:E,'Dane dzienne'!B:B,A22),"-")</f>
        <v/>
      </c>
      <c r="E22" s="8">
        <f>IFERROR(ROUND(AVERAGEIF('Dane dzienne'!B:B,A22,'Dane dzienne'!E:E),2),"-")</f>
        <v/>
      </c>
      <c r="F22" s="4">
        <f>IFERROR(ROUND(AVERAGEIF('Dane dzienne'!B:B,A22,'Dane dzienne'!F:F),0),"-")</f>
        <v/>
      </c>
      <c r="G22" s="4">
        <f>IFERROR(MAXIFS('Dane dzienne'!G:G,'Dane dzienne'!B:B,A22),"-")</f>
        <v/>
      </c>
    </row>
    <row r="23">
      <c r="A23" s="6" t="inlineStr">
        <is>
          <t>40802</t>
        </is>
      </c>
      <c r="B23" s="7" t="inlineStr">
        <is>
          <t>Luna Lovegood &amp; Thestral Figures</t>
        </is>
      </c>
      <c r="C23" s="6" t="inlineStr">
        <is>
          <t>BrickHeadz</t>
        </is>
      </c>
      <c r="D23" s="9">
        <f>IFERROR(MINIFS('Dane dzienne'!E:E,'Dane dzienne'!B:B,A23),"-")</f>
        <v/>
      </c>
      <c r="E23" s="9">
        <f>IFERROR(ROUND(AVERAGEIF('Dane dzienne'!B:B,A23,'Dane dzienne'!E:E),2),"-")</f>
        <v/>
      </c>
      <c r="F23" s="6">
        <f>IFERROR(ROUND(AVERAGEIF('Dane dzienne'!B:B,A23,'Dane dzienne'!F:F),0),"-")</f>
        <v/>
      </c>
      <c r="G23" s="6">
        <f>IFERROR(MAXIFS('Dane dzienne'!G:G,'Dane dzienne'!B:B,A23),"-")</f>
        <v/>
      </c>
    </row>
    <row r="24">
      <c r="A24" s="4" t="inlineStr">
        <is>
          <t>40803</t>
        </is>
      </c>
      <c r="B24" s="5" t="inlineStr">
        <is>
          <t>Optimus Prime Robot &amp; Vehicle</t>
        </is>
      </c>
      <c r="C24" s="4" t="inlineStr">
        <is>
          <t>BrickHeadz</t>
        </is>
      </c>
      <c r="D24" s="8">
        <f>IFERROR(MINIFS('Dane dzienne'!E:E,'Dane dzienne'!B:B,A24),"-")</f>
        <v/>
      </c>
      <c r="E24" s="8">
        <f>IFERROR(ROUND(AVERAGEIF('Dane dzienne'!B:B,A24,'Dane dzienne'!E:E),2),"-")</f>
        <v/>
      </c>
      <c r="F24" s="4">
        <f>IFERROR(ROUND(AVERAGEIF('Dane dzienne'!B:B,A24,'Dane dzienne'!F:F),0),"-")</f>
        <v/>
      </c>
      <c r="G24" s="4">
        <f>IFERROR(MAXIFS('Dane dzienne'!G:G,'Dane dzienne'!B:B,A24),"-")</f>
        <v/>
      </c>
    </row>
    <row r="25">
      <c r="A25" s="6" t="inlineStr">
        <is>
          <t>40804</t>
        </is>
      </c>
      <c r="B25" s="7" t="inlineStr">
        <is>
          <t>Bumblebee Robot &amp; Vehicle</t>
        </is>
      </c>
      <c r="C25" s="6" t="inlineStr">
        <is>
          <t>BrickHeadz</t>
        </is>
      </c>
      <c r="D25" s="9">
        <f>IFERROR(MINIFS('Dane dzienne'!E:E,'Dane dzienne'!B:B,A25),"-")</f>
        <v/>
      </c>
      <c r="E25" s="9">
        <f>IFERROR(ROUND(AVERAGEIF('Dane dzienne'!B:B,A25,'Dane dzienne'!E:E),2),"-")</f>
        <v/>
      </c>
      <c r="F25" s="6">
        <f>IFERROR(ROUND(AVERAGEIF('Dane dzienne'!B:B,A25,'Dane dzienne'!F:F),0),"-")</f>
        <v/>
      </c>
      <c r="G25" s="6">
        <f>IFERROR(MAXIFS('Dane dzienne'!G:G,'Dane dzienne'!B:B,A25),"-")</f>
        <v/>
      </c>
    </row>
    <row r="26">
      <c r="A26" s="4" t="inlineStr">
        <is>
          <t>40879</t>
        </is>
      </c>
      <c r="B26" s="5" t="inlineStr">
        <is>
          <t>Eleven, Max, Demogorgon and Holly Figures</t>
        </is>
      </c>
      <c r="C26" s="4" t="inlineStr">
        <is>
          <t>BrickHeadz</t>
        </is>
      </c>
      <c r="D26" s="8">
        <f>IFERROR(MINIFS('Dane dzienne'!E:E,'Dane dzienne'!B:B,A26),"-")</f>
        <v/>
      </c>
      <c r="E26" s="8">
        <f>IFERROR(ROUND(AVERAGEIF('Dane dzienne'!B:B,A26,'Dane dzienne'!E:E),2),"-")</f>
        <v/>
      </c>
      <c r="F26" s="4">
        <f>IFERROR(ROUND(AVERAGEIF('Dane dzienne'!B:B,A26,'Dane dzienne'!F:F),0),"-")</f>
        <v/>
      </c>
      <c r="G26" s="4">
        <f>IFERROR(MAXIFS('Dane dzienne'!G:G,'Dane dzienne'!B:B,A26),"-")</f>
        <v/>
      </c>
    </row>
    <row r="27">
      <c r="A27" s="6" t="inlineStr">
        <is>
          <t>40881</t>
        </is>
      </c>
      <c r="B27" s="7" t="inlineStr">
        <is>
          <t>Supply Llama &amp; Fishstick Figures</t>
        </is>
      </c>
      <c r="C27" s="6" t="inlineStr">
        <is>
          <t>BrickHeadz</t>
        </is>
      </c>
      <c r="D27" s="9">
        <f>IFERROR(MINIFS('Dane dzienne'!E:E,'Dane dzienne'!B:B,A27),"-")</f>
        <v/>
      </c>
      <c r="E27" s="9">
        <f>IFERROR(ROUND(AVERAGEIF('Dane dzienne'!B:B,A27,'Dane dzienne'!E:E),2),"-")</f>
        <v/>
      </c>
      <c r="F27" s="6">
        <f>IFERROR(ROUND(AVERAGEIF('Dane dzienne'!B:B,A27,'Dane dzienne'!F:F),0),"-")</f>
        <v/>
      </c>
      <c r="G27" s="6">
        <f>IFERROR(MAXIFS('Dane dzienne'!G:G,'Dane dzienne'!B:B,A27),"-")</f>
        <v/>
      </c>
    </row>
    <row r="28">
      <c r="A28" s="4" t="inlineStr">
        <is>
          <t>40884</t>
        </is>
      </c>
      <c r="B28" s="5" t="inlineStr">
        <is>
          <t>Drift &amp; Raven Figures</t>
        </is>
      </c>
      <c r="C28" s="4" t="inlineStr">
        <is>
          <t>BrickHeadz</t>
        </is>
      </c>
      <c r="D28" s="8">
        <f>IFERROR(MINIFS('Dane dzienne'!E:E,'Dane dzienne'!B:B,A28),"-")</f>
        <v/>
      </c>
      <c r="E28" s="8">
        <f>IFERROR(ROUND(AVERAGEIF('Dane dzienne'!B:B,A28,'Dane dzienne'!E:E),2),"-")</f>
        <v/>
      </c>
      <c r="F28" s="4">
        <f>IFERROR(ROUND(AVERAGEIF('Dane dzienne'!B:B,A28,'Dane dzienne'!F:F),0),"-")</f>
        <v/>
      </c>
      <c r="G28" s="4">
        <f>IFERROR(MAXIFS('Dane dzienne'!G:G,'Dane dzienne'!B:B,A28),"-")</f>
        <v/>
      </c>
    </row>
    <row r="29">
      <c r="A29" s="6" t="inlineStr">
        <is>
          <t>40924</t>
        </is>
      </c>
      <c r="B29" s="7" t="inlineStr">
        <is>
          <t>Megatron Robot &amp; Vehicle</t>
        </is>
      </c>
      <c r="C29" s="6" t="inlineStr">
        <is>
          <t>BrickHeadz</t>
        </is>
      </c>
      <c r="D29" s="9">
        <f>IFERROR(MINIFS('Dane dzienne'!E:E,'Dane dzienne'!B:B,A29),"-")</f>
        <v/>
      </c>
      <c r="E29" s="9">
        <f>IFERROR(ROUND(AVERAGEIF('Dane dzienne'!B:B,A29,'Dane dzienne'!E:E),2),"-")</f>
        <v/>
      </c>
      <c r="F29" s="6">
        <f>IFERROR(ROUND(AVERAGEIF('Dane dzienne'!B:B,A29,'Dane dzienne'!F:F),0),"-")</f>
        <v/>
      </c>
      <c r="G29" s="6">
        <f>IFERROR(MAXIFS('Dane dzienne'!G:G,'Dane dzienne'!B:B,A29),"-")</f>
        <v/>
      </c>
    </row>
    <row r="30">
      <c r="A30" s="4" t="inlineStr">
        <is>
          <t>30719</t>
        </is>
      </c>
      <c r="B30" s="5" t="inlineStr">
        <is>
          <t>Go-Kart Racer (Polybag)</t>
        </is>
      </c>
      <c r="C30" s="4" t="inlineStr">
        <is>
          <t>City</t>
        </is>
      </c>
      <c r="D30" s="8">
        <f>IFERROR(MINIFS('Dane dzienne'!E:E,'Dane dzienne'!B:B,A30),"-")</f>
        <v/>
      </c>
      <c r="E30" s="8">
        <f>IFERROR(ROUND(AVERAGEIF('Dane dzienne'!B:B,A30,'Dane dzienne'!E:E),2),"-")</f>
        <v/>
      </c>
      <c r="F30" s="4">
        <f>IFERROR(ROUND(AVERAGEIF('Dane dzienne'!B:B,A30,'Dane dzienne'!F:F),0),"-")</f>
        <v/>
      </c>
      <c r="G30" s="4">
        <f>IFERROR(MAXIFS('Dane dzienne'!G:G,'Dane dzienne'!B:B,A30),"-")</f>
        <v/>
      </c>
    </row>
    <row r="31">
      <c r="A31" s="6" t="inlineStr">
        <is>
          <t>60312</t>
        </is>
      </c>
      <c r="B31" s="7" t="inlineStr">
        <is>
          <t>Police Car</t>
        </is>
      </c>
      <c r="C31" s="6" t="inlineStr">
        <is>
          <t>City</t>
        </is>
      </c>
      <c r="D31" s="9">
        <f>IFERROR(MINIFS('Dane dzienne'!E:E,'Dane dzienne'!B:B,A31),"-")</f>
        <v/>
      </c>
      <c r="E31" s="9">
        <f>IFERROR(ROUND(AVERAGEIF('Dane dzienne'!B:B,A31,'Dane dzienne'!E:E),2),"-")</f>
        <v/>
      </c>
      <c r="F31" s="6">
        <f>IFERROR(ROUND(AVERAGEIF('Dane dzienne'!B:B,A31,'Dane dzienne'!F:F),0),"-")</f>
        <v/>
      </c>
      <c r="G31" s="6">
        <f>IFERROR(MAXIFS('Dane dzienne'!G:G,'Dane dzienne'!B:B,A31),"-")</f>
        <v/>
      </c>
    </row>
    <row r="32">
      <c r="A32" s="4" t="inlineStr">
        <is>
          <t>60316</t>
        </is>
      </c>
      <c r="B32" s="5" t="inlineStr">
        <is>
          <t>Police Station</t>
        </is>
      </c>
      <c r="C32" s="4" t="inlineStr">
        <is>
          <t>City</t>
        </is>
      </c>
      <c r="D32" s="8">
        <f>IFERROR(MINIFS('Dane dzienne'!E:E,'Dane dzienne'!B:B,A32),"-")</f>
        <v/>
      </c>
      <c r="E32" s="8">
        <f>IFERROR(ROUND(AVERAGEIF('Dane dzienne'!B:B,A32,'Dane dzienne'!E:E),2),"-")</f>
        <v/>
      </c>
      <c r="F32" s="4">
        <f>IFERROR(ROUND(AVERAGEIF('Dane dzienne'!B:B,A32,'Dane dzienne'!F:F),0),"-")</f>
        <v/>
      </c>
      <c r="G32" s="4">
        <f>IFERROR(MAXIFS('Dane dzienne'!G:G,'Dane dzienne'!B:B,A32),"-")</f>
        <v/>
      </c>
    </row>
    <row r="33">
      <c r="A33" s="6" t="inlineStr">
        <is>
          <t>60337</t>
        </is>
      </c>
      <c r="B33" s="7" t="inlineStr">
        <is>
          <t>Express Passenger Train</t>
        </is>
      </c>
      <c r="C33" s="6" t="inlineStr">
        <is>
          <t>City</t>
        </is>
      </c>
      <c r="D33" s="9">
        <f>IFERROR(MINIFS('Dane dzienne'!E:E,'Dane dzienne'!B:B,A33),"-")</f>
        <v/>
      </c>
      <c r="E33" s="9">
        <f>IFERROR(ROUND(AVERAGEIF('Dane dzienne'!B:B,A33,'Dane dzienne'!E:E),2),"-")</f>
        <v/>
      </c>
      <c r="F33" s="6">
        <f>IFERROR(ROUND(AVERAGEIF('Dane dzienne'!B:B,A33,'Dane dzienne'!F:F),0),"-")</f>
        <v/>
      </c>
      <c r="G33" s="6">
        <f>IFERROR(MAXIFS('Dane dzienne'!G:G,'Dane dzienne'!B:B,A33),"-")</f>
        <v/>
      </c>
    </row>
    <row r="34">
      <c r="A34" s="4" t="inlineStr">
        <is>
          <t>60400</t>
        </is>
      </c>
      <c r="B34" s="5" t="inlineStr">
        <is>
          <t>Go-Karts and Race Drivers</t>
        </is>
      </c>
      <c r="C34" s="4" t="inlineStr">
        <is>
          <t>City</t>
        </is>
      </c>
      <c r="D34" s="8">
        <f>IFERROR(MINIFS('Dane dzienne'!E:E,'Dane dzienne'!B:B,A34),"-")</f>
        <v/>
      </c>
      <c r="E34" s="8">
        <f>IFERROR(ROUND(AVERAGEIF('Dane dzienne'!B:B,A34,'Dane dzienne'!E:E),2),"-")</f>
        <v/>
      </c>
      <c r="F34" s="4">
        <f>IFERROR(ROUND(AVERAGEIF('Dane dzienne'!B:B,A34,'Dane dzienne'!F:F),0),"-")</f>
        <v/>
      </c>
      <c r="G34" s="4">
        <f>IFERROR(MAXIFS('Dane dzienne'!G:G,'Dane dzienne'!B:B,A34),"-")</f>
        <v/>
      </c>
    </row>
    <row r="35">
      <c r="A35" s="6" t="inlineStr">
        <is>
          <t>60402</t>
        </is>
      </c>
      <c r="B35" s="7" t="inlineStr">
        <is>
          <t>Monster Truck</t>
        </is>
      </c>
      <c r="C35" s="6" t="inlineStr">
        <is>
          <t>City</t>
        </is>
      </c>
      <c r="D35" s="9">
        <f>IFERROR(MINIFS('Dane dzienne'!E:E,'Dane dzienne'!B:B,A35),"-")</f>
        <v/>
      </c>
      <c r="E35" s="9">
        <f>IFERROR(ROUND(AVERAGEIF('Dane dzienne'!B:B,A35,'Dane dzienne'!E:E),2),"-")</f>
        <v/>
      </c>
      <c r="F35" s="6">
        <f>IFERROR(ROUND(AVERAGEIF('Dane dzienne'!B:B,A35,'Dane dzienne'!F:F),0),"-")</f>
        <v/>
      </c>
      <c r="G35" s="6">
        <f>IFERROR(MAXIFS('Dane dzienne'!G:G,'Dane dzienne'!B:B,A35),"-")</f>
        <v/>
      </c>
    </row>
    <row r="36">
      <c r="A36" s="4" t="inlineStr">
        <is>
          <t>60404</t>
        </is>
      </c>
      <c r="B36" s="5" t="inlineStr">
        <is>
          <t>Burger Van</t>
        </is>
      </c>
      <c r="C36" s="4" t="inlineStr">
        <is>
          <t>City</t>
        </is>
      </c>
      <c r="D36" s="8">
        <f>IFERROR(MINIFS('Dane dzienne'!E:E,'Dane dzienne'!B:B,A36),"-")</f>
        <v/>
      </c>
      <c r="E36" s="8">
        <f>IFERROR(ROUND(AVERAGEIF('Dane dzienne'!B:B,A36,'Dane dzienne'!E:E),2),"-")</f>
        <v/>
      </c>
      <c r="F36" s="4">
        <f>IFERROR(ROUND(AVERAGEIF('Dane dzienne'!B:B,A36,'Dane dzienne'!F:F),0),"-")</f>
        <v/>
      </c>
      <c r="G36" s="4">
        <f>IFERROR(MAXIFS('Dane dzienne'!G:G,'Dane dzienne'!B:B,A36),"-")</f>
        <v/>
      </c>
    </row>
    <row r="37">
      <c r="A37" s="6" t="inlineStr">
        <is>
          <t>60407</t>
        </is>
      </c>
      <c r="B37" s="7" t="inlineStr">
        <is>
          <t>Red Double-Decker Sightseeing Bus</t>
        </is>
      </c>
      <c r="C37" s="6" t="inlineStr">
        <is>
          <t>City</t>
        </is>
      </c>
      <c r="D37" s="9">
        <f>IFERROR(MINIFS('Dane dzienne'!E:E,'Dane dzienne'!B:B,A37),"-")</f>
        <v/>
      </c>
      <c r="E37" s="9">
        <f>IFERROR(ROUND(AVERAGEIF('Dane dzienne'!B:B,A37,'Dane dzienne'!E:E),2),"-")</f>
        <v/>
      </c>
      <c r="F37" s="6">
        <f>IFERROR(ROUND(AVERAGEIF('Dane dzienne'!B:B,A37,'Dane dzienne'!F:F),0),"-")</f>
        <v/>
      </c>
      <c r="G37" s="6">
        <f>IFERROR(MAXIFS('Dane dzienne'!G:G,'Dane dzienne'!B:B,A37),"-")</f>
        <v/>
      </c>
    </row>
    <row r="38">
      <c r="A38" s="4" t="inlineStr">
        <is>
          <t>60419</t>
        </is>
      </c>
      <c r="B38" s="5" t="inlineStr">
        <is>
          <t>Police Prison Island</t>
        </is>
      </c>
      <c r="C38" s="4" t="inlineStr">
        <is>
          <t>City</t>
        </is>
      </c>
      <c r="D38" s="8">
        <f>IFERROR(MINIFS('Dane dzienne'!E:E,'Dane dzienne'!B:B,A38),"-")</f>
        <v/>
      </c>
      <c r="E38" s="8">
        <f>IFERROR(ROUND(AVERAGEIF('Dane dzienne'!B:B,A38,'Dane dzienne'!E:E),2),"-")</f>
        <v/>
      </c>
      <c r="F38" s="4">
        <f>IFERROR(ROUND(AVERAGEIF('Dane dzienne'!B:B,A38,'Dane dzienne'!F:F),0),"-")</f>
        <v/>
      </c>
      <c r="G38" s="4">
        <f>IFERROR(MAXIFS('Dane dzienne'!G:G,'Dane dzienne'!B:B,A38),"-")</f>
        <v/>
      </c>
    </row>
    <row r="39">
      <c r="A39" s="6" t="inlineStr">
        <is>
          <t>60423</t>
        </is>
      </c>
      <c r="B39" s="7" t="inlineStr">
        <is>
          <t>Downtown Streetcat &amp; Station</t>
        </is>
      </c>
      <c r="C39" s="6" t="inlineStr">
        <is>
          <t>City</t>
        </is>
      </c>
      <c r="D39" s="9">
        <f>IFERROR(MINIFS('Dane dzienne'!E:E,'Dane dzienne'!B:B,A39),"-")</f>
        <v/>
      </c>
      <c r="E39" s="9">
        <f>IFERROR(ROUND(AVERAGEIF('Dane dzienne'!B:B,A39,'Dane dzienne'!E:E),2),"-")</f>
        <v/>
      </c>
      <c r="F39" s="6">
        <f>IFERROR(ROUND(AVERAGEIF('Dane dzienne'!B:B,A39,'Dane dzienne'!F:F),0),"-")</f>
        <v/>
      </c>
      <c r="G39" s="6">
        <f>IFERROR(MAXIFS('Dane dzienne'!G:G,'Dane dzienne'!B:B,A39),"-")</f>
        <v/>
      </c>
    </row>
    <row r="40">
      <c r="A40" s="4" t="inlineStr">
        <is>
          <t>60430</t>
        </is>
      </c>
      <c r="B40" s="5" t="inlineStr">
        <is>
          <t>Interstellar Spaceship</t>
        </is>
      </c>
      <c r="C40" s="4" t="inlineStr">
        <is>
          <t>City</t>
        </is>
      </c>
      <c r="D40" s="8">
        <f>IFERROR(MINIFS('Dane dzienne'!E:E,'Dane dzienne'!B:B,A40),"-")</f>
        <v/>
      </c>
      <c r="E40" s="8">
        <f>IFERROR(ROUND(AVERAGEIF('Dane dzienne'!B:B,A40,'Dane dzienne'!E:E),2),"-")</f>
        <v/>
      </c>
      <c r="F40" s="4">
        <f>IFERROR(ROUND(AVERAGEIF('Dane dzienne'!B:B,A40,'Dane dzienne'!F:F),0),"-")</f>
        <v/>
      </c>
      <c r="G40" s="4">
        <f>IFERROR(MAXIFS('Dane dzienne'!G:G,'Dane dzienne'!B:B,A40),"-")</f>
        <v/>
      </c>
    </row>
    <row r="41">
      <c r="A41" s="6" t="inlineStr">
        <is>
          <t>60445</t>
        </is>
      </c>
      <c r="B41" s="7" t="inlineStr">
        <is>
          <t>F1 Truck with RB20 &amp; AMR24 F1 Cars</t>
        </is>
      </c>
      <c r="C41" s="6" t="inlineStr">
        <is>
          <t>City</t>
        </is>
      </c>
      <c r="D41" s="9">
        <f>IFERROR(MINIFS('Dane dzienne'!E:E,'Dane dzienne'!B:B,A41),"-")</f>
        <v/>
      </c>
      <c r="E41" s="9">
        <f>IFERROR(ROUND(AVERAGEIF('Dane dzienne'!B:B,A41,'Dane dzienne'!E:E),2),"-")</f>
        <v/>
      </c>
      <c r="F41" s="6">
        <f>IFERROR(ROUND(AVERAGEIF('Dane dzienne'!B:B,A41,'Dane dzienne'!F:F),0),"-")</f>
        <v/>
      </c>
      <c r="G41" s="6">
        <f>IFERROR(MAXIFS('Dane dzienne'!G:G,'Dane dzienne'!B:B,A41),"-")</f>
        <v/>
      </c>
    </row>
    <row r="42">
      <c r="A42" s="4" t="inlineStr">
        <is>
          <t>60447</t>
        </is>
      </c>
      <c r="B42" s="5" t="inlineStr">
        <is>
          <t>Off-Road Mountain Truck</t>
        </is>
      </c>
      <c r="C42" s="4" t="inlineStr">
        <is>
          <t>City</t>
        </is>
      </c>
      <c r="D42" s="8">
        <f>IFERROR(MINIFS('Dane dzienne'!E:E,'Dane dzienne'!B:B,A42),"-")</f>
        <v/>
      </c>
      <c r="E42" s="8">
        <f>IFERROR(ROUND(AVERAGEIF('Dane dzienne'!B:B,A42,'Dane dzienne'!E:E),2),"-")</f>
        <v/>
      </c>
      <c r="F42" s="4">
        <f>IFERROR(ROUND(AVERAGEIF('Dane dzienne'!B:B,A42,'Dane dzienne'!F:F),0),"-")</f>
        <v/>
      </c>
      <c r="G42" s="4">
        <f>IFERROR(MAXIFS('Dane dzienne'!G:G,'Dane dzienne'!B:B,A42),"-")</f>
        <v/>
      </c>
    </row>
    <row r="43">
      <c r="A43" s="6" t="inlineStr">
        <is>
          <t>60457</t>
        </is>
      </c>
      <c r="B43" s="7" t="inlineStr">
        <is>
          <t>Custom Police Garage</t>
        </is>
      </c>
      <c r="C43" s="6" t="inlineStr">
        <is>
          <t>City</t>
        </is>
      </c>
      <c r="D43" s="9">
        <f>IFERROR(MINIFS('Dane dzienne'!E:E,'Dane dzienne'!B:B,A43),"-")</f>
        <v/>
      </c>
      <c r="E43" s="9">
        <f>IFERROR(ROUND(AVERAGEIF('Dane dzienne'!B:B,A43,'Dane dzienne'!E:E),2),"-")</f>
        <v/>
      </c>
      <c r="F43" s="6">
        <f>IFERROR(ROUND(AVERAGEIF('Dane dzienne'!B:B,A43,'Dane dzienne'!F:F),0),"-")</f>
        <v/>
      </c>
      <c r="G43" s="6">
        <f>IFERROR(MAXIFS('Dane dzienne'!G:G,'Dane dzienne'!B:B,A43),"-")</f>
        <v/>
      </c>
    </row>
    <row r="44">
      <c r="A44" s="4" t="inlineStr">
        <is>
          <t>60463</t>
        </is>
      </c>
      <c r="B44" s="5" t="inlineStr">
        <is>
          <t>Fire Engine</t>
        </is>
      </c>
      <c r="C44" s="4" t="inlineStr">
        <is>
          <t>City</t>
        </is>
      </c>
      <c r="D44" s="8">
        <f>IFERROR(MINIFS('Dane dzienne'!E:E,'Dane dzienne'!B:B,A44),"-")</f>
        <v/>
      </c>
      <c r="E44" s="8">
        <f>IFERROR(ROUND(AVERAGEIF('Dane dzienne'!B:B,A44,'Dane dzienne'!E:E),2),"-")</f>
        <v/>
      </c>
      <c r="F44" s="4">
        <f>IFERROR(ROUND(AVERAGEIF('Dane dzienne'!B:B,A44,'Dane dzienne'!F:F),0),"-")</f>
        <v/>
      </c>
      <c r="G44" s="4">
        <f>IFERROR(MAXIFS('Dane dzienne'!G:G,'Dane dzienne'!B:B,A44),"-")</f>
        <v/>
      </c>
    </row>
    <row r="45">
      <c r="A45" s="6" t="inlineStr">
        <is>
          <t>60464</t>
        </is>
      </c>
      <c r="B45" s="7" t="inlineStr">
        <is>
          <t>F1 Williams Racing &amp; Haas F1 Race Cars</t>
        </is>
      </c>
      <c r="C45" s="6" t="inlineStr">
        <is>
          <t>City</t>
        </is>
      </c>
      <c r="D45" s="9">
        <f>IFERROR(MINIFS('Dane dzienne'!E:E,'Dane dzienne'!B:B,A45),"-")</f>
        <v/>
      </c>
      <c r="E45" s="9">
        <f>IFERROR(ROUND(AVERAGEIF('Dane dzienne'!B:B,A45,'Dane dzienne'!E:E),2),"-")</f>
        <v/>
      </c>
      <c r="F45" s="6">
        <f>IFERROR(ROUND(AVERAGEIF('Dane dzienne'!B:B,A45,'Dane dzienne'!F:F),0),"-")</f>
        <v/>
      </c>
      <c r="G45" s="6">
        <f>IFERROR(MAXIFS('Dane dzienne'!G:G,'Dane dzienne'!B:B,A45),"-")</f>
        <v/>
      </c>
    </row>
    <row r="46">
      <c r="A46" s="4" t="inlineStr">
        <is>
          <t>60465</t>
        </is>
      </c>
      <c r="B46" s="5" t="inlineStr">
        <is>
          <t>Air Ambulance</t>
        </is>
      </c>
      <c r="C46" s="4" t="inlineStr">
        <is>
          <t>City</t>
        </is>
      </c>
      <c r="D46" s="8">
        <f>IFERROR(MINIFS('Dane dzienne'!E:E,'Dane dzienne'!B:B,A46),"-")</f>
        <v/>
      </c>
      <c r="E46" s="8">
        <f>IFERROR(ROUND(AVERAGEIF('Dane dzienne'!B:B,A46,'Dane dzienne'!E:E),2),"-")</f>
        <v/>
      </c>
      <c r="F46" s="4">
        <f>IFERROR(ROUND(AVERAGEIF('Dane dzienne'!B:B,A46,'Dane dzienne'!F:F),0),"-")</f>
        <v/>
      </c>
      <c r="G46" s="4">
        <f>IFERROR(MAXIFS('Dane dzienne'!G:G,'Dane dzienne'!B:B,A46),"-")</f>
        <v/>
      </c>
    </row>
    <row r="47">
      <c r="A47" s="6" t="inlineStr">
        <is>
          <t>60466</t>
        </is>
      </c>
      <c r="B47" s="7" t="inlineStr">
        <is>
          <t>Bulldozer</t>
        </is>
      </c>
      <c r="C47" s="6" t="inlineStr">
        <is>
          <t>City</t>
        </is>
      </c>
      <c r="D47" s="9">
        <f>IFERROR(MINIFS('Dane dzienne'!E:E,'Dane dzienne'!B:B,A47),"-")</f>
        <v/>
      </c>
      <c r="E47" s="9">
        <f>IFERROR(ROUND(AVERAGEIF('Dane dzienne'!B:B,A47,'Dane dzienne'!E:E),2),"-")</f>
        <v/>
      </c>
      <c r="F47" s="6">
        <f>IFERROR(ROUND(AVERAGEIF('Dane dzienne'!B:B,A47,'Dane dzienne'!F:F),0),"-")</f>
        <v/>
      </c>
      <c r="G47" s="6">
        <f>IFERROR(MAXIFS('Dane dzienne'!G:G,'Dane dzienne'!B:B,A47),"-")</f>
        <v/>
      </c>
    </row>
    <row r="48">
      <c r="A48" s="4" t="inlineStr">
        <is>
          <t>60469</t>
        </is>
      </c>
      <c r="B48" s="5" t="inlineStr">
        <is>
          <t>Central Train Station</t>
        </is>
      </c>
      <c r="C48" s="4" t="inlineStr">
        <is>
          <t>City</t>
        </is>
      </c>
      <c r="D48" s="8">
        <f>IFERROR(MINIFS('Dane dzienne'!E:E,'Dane dzienne'!B:B,A48),"-")</f>
        <v/>
      </c>
      <c r="E48" s="8">
        <f>IFERROR(ROUND(AVERAGEIF('Dane dzienne'!B:B,A48,'Dane dzienne'!E:E),2),"-")</f>
        <v/>
      </c>
      <c r="F48" s="4">
        <f>IFERROR(ROUND(AVERAGEIF('Dane dzienne'!B:B,A48,'Dane dzienne'!F:F),0),"-")</f>
        <v/>
      </c>
      <c r="G48" s="4">
        <f>IFERROR(MAXIFS('Dane dzienne'!G:G,'Dane dzienne'!B:B,A48),"-")</f>
        <v/>
      </c>
    </row>
    <row r="49">
      <c r="A49" s="6" t="inlineStr">
        <is>
          <t>60470</t>
        </is>
      </c>
      <c r="B49" s="7" t="inlineStr">
        <is>
          <t>Explorer Train</t>
        </is>
      </c>
      <c r="C49" s="6" t="inlineStr">
        <is>
          <t>City</t>
        </is>
      </c>
      <c r="D49" s="9">
        <f>IFERROR(MINIFS('Dane dzienne'!E:E,'Dane dzienne'!B:B,A49),"-")</f>
        <v/>
      </c>
      <c r="E49" s="9">
        <f>IFERROR(ROUND(AVERAGEIF('Dane dzienne'!B:B,A49,'Dane dzienne'!E:E),2),"-")</f>
        <v/>
      </c>
      <c r="F49" s="6">
        <f>IFERROR(ROUND(AVERAGEIF('Dane dzienne'!B:B,A49,'Dane dzienne'!F:F),0),"-")</f>
        <v/>
      </c>
      <c r="G49" s="6">
        <f>IFERROR(MAXIFS('Dane dzienne'!G:G,'Dane dzienne'!B:B,A49),"-")</f>
        <v/>
      </c>
    </row>
    <row r="50">
      <c r="A50" s="4" t="inlineStr">
        <is>
          <t>60471</t>
        </is>
      </c>
      <c r="B50" s="5" t="inlineStr">
        <is>
          <t>Arctic Truck</t>
        </is>
      </c>
      <c r="C50" s="4" t="inlineStr">
        <is>
          <t>City</t>
        </is>
      </c>
      <c r="D50" s="8">
        <f>IFERROR(MINIFS('Dane dzienne'!E:E,'Dane dzienne'!B:B,A50),"-")</f>
        <v/>
      </c>
      <c r="E50" s="8">
        <f>IFERROR(ROUND(AVERAGEIF('Dane dzienne'!B:B,A50,'Dane dzienne'!E:E),2),"-")</f>
        <v/>
      </c>
      <c r="F50" s="4">
        <f>IFERROR(ROUND(AVERAGEIF('Dane dzienne'!B:B,A50,'Dane dzienne'!F:F),0),"-")</f>
        <v/>
      </c>
      <c r="G50" s="4">
        <f>IFERROR(MAXIFS('Dane dzienne'!G:G,'Dane dzienne'!B:B,A50),"-")</f>
        <v/>
      </c>
    </row>
    <row r="51">
      <c r="A51" s="6" t="inlineStr">
        <is>
          <t>60482</t>
        </is>
      </c>
      <c r="B51" s="7" t="inlineStr">
        <is>
          <t>Fire Engine Rides</t>
        </is>
      </c>
      <c r="C51" s="6" t="inlineStr">
        <is>
          <t>City</t>
        </is>
      </c>
      <c r="D51" s="9">
        <f>IFERROR(MINIFS('Dane dzienne'!E:E,'Dane dzienne'!B:B,A51),"-")</f>
        <v/>
      </c>
      <c r="E51" s="9">
        <f>IFERROR(ROUND(AVERAGEIF('Dane dzienne'!B:B,A51,'Dane dzienne'!E:E),2),"-")</f>
        <v/>
      </c>
      <c r="F51" s="6">
        <f>IFERROR(ROUND(AVERAGEIF('Dane dzienne'!B:B,A51,'Dane dzienne'!F:F),0),"-")</f>
        <v/>
      </c>
      <c r="G51" s="6">
        <f>IFERROR(MAXIFS('Dane dzienne'!G:G,'Dane dzienne'!B:B,A51),"-")</f>
        <v/>
      </c>
    </row>
    <row r="52">
      <c r="A52" s="4" t="inlineStr">
        <is>
          <t>60484</t>
        </is>
      </c>
      <c r="B52" s="5" t="inlineStr">
        <is>
          <t>Gaming Car Rides</t>
        </is>
      </c>
      <c r="C52" s="4" t="inlineStr">
        <is>
          <t>City</t>
        </is>
      </c>
      <c r="D52" s="8">
        <f>IFERROR(MINIFS('Dane dzienne'!E:E,'Dane dzienne'!B:B,A52),"-")</f>
        <v/>
      </c>
      <c r="E52" s="8">
        <f>IFERROR(ROUND(AVERAGEIF('Dane dzienne'!B:B,A52,'Dane dzienne'!E:E),2),"-")</f>
        <v/>
      </c>
      <c r="F52" s="4">
        <f>IFERROR(ROUND(AVERAGEIF('Dane dzienne'!B:B,A52,'Dane dzienne'!F:F),0),"-")</f>
        <v/>
      </c>
      <c r="G52" s="4">
        <f>IFERROR(MAXIFS('Dane dzienne'!G:G,'Dane dzienne'!B:B,A52),"-")</f>
        <v/>
      </c>
    </row>
    <row r="53">
      <c r="A53" s="6" t="inlineStr">
        <is>
          <t>60489</t>
        </is>
      </c>
      <c r="B53" s="7" t="inlineStr">
        <is>
          <t>Jet vs. Car</t>
        </is>
      </c>
      <c r="C53" s="6" t="inlineStr">
        <is>
          <t>City</t>
        </is>
      </c>
      <c r="D53" s="9">
        <f>IFERROR(MINIFS('Dane dzienne'!E:E,'Dane dzienne'!B:B,A53),"-")</f>
        <v/>
      </c>
      <c r="E53" s="9">
        <f>IFERROR(ROUND(AVERAGEIF('Dane dzienne'!B:B,A53,'Dane dzienne'!E:E),2),"-")</f>
        <v/>
      </c>
      <c r="F53" s="6">
        <f>IFERROR(ROUND(AVERAGEIF('Dane dzienne'!B:B,A53,'Dane dzienne'!F:F),0),"-")</f>
        <v/>
      </c>
      <c r="G53" s="6">
        <f>IFERROR(MAXIFS('Dane dzienne'!G:G,'Dane dzienne'!B:B,A53),"-")</f>
        <v/>
      </c>
    </row>
    <row r="54">
      <c r="A54" s="4" t="inlineStr">
        <is>
          <t>60490</t>
        </is>
      </c>
      <c r="B54" s="5" t="inlineStr">
        <is>
          <t>Snowplough</t>
        </is>
      </c>
      <c r="C54" s="4" t="inlineStr">
        <is>
          <t>City</t>
        </is>
      </c>
      <c r="D54" s="8">
        <f>IFERROR(MINIFS('Dane dzienne'!E:E,'Dane dzienne'!B:B,A54),"-")</f>
        <v/>
      </c>
      <c r="E54" s="8">
        <f>IFERROR(ROUND(AVERAGEIF('Dane dzienne'!B:B,A54,'Dane dzienne'!E:E),2),"-")</f>
        <v/>
      </c>
      <c r="F54" s="4">
        <f>IFERROR(ROUND(AVERAGEIF('Dane dzienne'!B:B,A54,'Dane dzienne'!F:F),0),"-")</f>
        <v/>
      </c>
      <c r="G54" s="4">
        <f>IFERROR(MAXIFS('Dane dzienne'!G:G,'Dane dzienne'!B:B,A54),"-")</f>
        <v/>
      </c>
    </row>
    <row r="55">
      <c r="A55" s="6" t="inlineStr">
        <is>
          <t>60491</t>
        </is>
      </c>
      <c r="B55" s="7" t="inlineStr">
        <is>
          <t>Motorcycle Transporter</t>
        </is>
      </c>
      <c r="C55" s="6" t="inlineStr">
        <is>
          <t>City</t>
        </is>
      </c>
      <c r="D55" s="9">
        <f>IFERROR(MINIFS('Dane dzienne'!E:E,'Dane dzienne'!B:B,A55),"-")</f>
        <v/>
      </c>
      <c r="E55" s="9">
        <f>IFERROR(ROUND(AVERAGEIF('Dane dzienne'!B:B,A55,'Dane dzienne'!E:E),2),"-")</f>
        <v/>
      </c>
      <c r="F55" s="6">
        <f>IFERROR(ROUND(AVERAGEIF('Dane dzienne'!B:B,A55,'Dane dzienne'!F:F),0),"-")</f>
        <v/>
      </c>
      <c r="G55" s="6">
        <f>IFERROR(MAXIFS('Dane dzienne'!G:G,'Dane dzienne'!B:B,A55),"-")</f>
        <v/>
      </c>
    </row>
    <row r="56">
      <c r="A56" s="4" t="inlineStr">
        <is>
          <t>60493</t>
        </is>
      </c>
      <c r="B56" s="5" t="inlineStr">
        <is>
          <t>F1 Display Truck with Audi F1 Race Car</t>
        </is>
      </c>
      <c r="C56" s="4" t="inlineStr">
        <is>
          <t>City</t>
        </is>
      </c>
      <c r="D56" s="8">
        <f>IFERROR(MINIFS('Dane dzienne'!E:E,'Dane dzienne'!B:B,A56),"-")</f>
        <v/>
      </c>
      <c r="E56" s="8">
        <f>IFERROR(ROUND(AVERAGEIF('Dane dzienne'!B:B,A56,'Dane dzienne'!E:E),2),"-")</f>
        <v/>
      </c>
      <c r="F56" s="4">
        <f>IFERROR(ROUND(AVERAGEIF('Dane dzienne'!B:B,A56,'Dane dzienne'!F:F),0),"-")</f>
        <v/>
      </c>
      <c r="G56" s="4">
        <f>IFERROR(MAXIFS('Dane dzienne'!G:G,'Dane dzienne'!B:B,A56),"-")</f>
        <v/>
      </c>
    </row>
    <row r="57">
      <c r="A57" s="6" t="inlineStr">
        <is>
          <t>60495</t>
        </is>
      </c>
      <c r="B57" s="7" t="inlineStr">
        <is>
          <t>Recycling Truck</t>
        </is>
      </c>
      <c r="C57" s="6" t="inlineStr">
        <is>
          <t>City</t>
        </is>
      </c>
      <c r="D57" s="9">
        <f>IFERROR(MINIFS('Dane dzienne'!E:E,'Dane dzienne'!B:B,A57),"-")</f>
        <v/>
      </c>
      <c r="E57" s="9">
        <f>IFERROR(ROUND(AVERAGEIF('Dane dzienne'!B:B,A57,'Dane dzienne'!E:E),2),"-")</f>
        <v/>
      </c>
      <c r="F57" s="6">
        <f>IFERROR(ROUND(AVERAGEIF('Dane dzienne'!B:B,A57,'Dane dzienne'!F:F),0),"-")</f>
        <v/>
      </c>
      <c r="G57" s="6">
        <f>IFERROR(MAXIFS('Dane dzienne'!G:G,'Dane dzienne'!B:B,A57),"-")</f>
        <v/>
      </c>
    </row>
    <row r="58">
      <c r="A58" s="4" t="inlineStr">
        <is>
          <t>60510</t>
        </is>
      </c>
      <c r="B58" s="5" t="inlineStr">
        <is>
          <t>LEGO City Advent Calendar 2026</t>
        </is>
      </c>
      <c r="C58" s="4" t="inlineStr">
        <is>
          <t>City</t>
        </is>
      </c>
      <c r="D58" s="8">
        <f>IFERROR(MINIFS('Dane dzienne'!E:E,'Dane dzienne'!B:B,A58),"-")</f>
        <v/>
      </c>
      <c r="E58" s="8">
        <f>IFERROR(ROUND(AVERAGEIF('Dane dzienne'!B:B,A58,'Dane dzienne'!E:E),2),"-")</f>
        <v/>
      </c>
      <c r="F58" s="4">
        <f>IFERROR(ROUND(AVERAGEIF('Dane dzienne'!B:B,A58,'Dane dzienne'!F:F),0),"-")</f>
        <v/>
      </c>
      <c r="G58" s="4">
        <f>IFERROR(MAXIFS('Dane dzienne'!G:G,'Dane dzienne'!B:B,A58),"-")</f>
        <v/>
      </c>
    </row>
    <row r="59">
      <c r="A59" s="6" t="inlineStr">
        <is>
          <t>11040</t>
        </is>
      </c>
      <c r="B59" s="7" t="inlineStr">
        <is>
          <t>Magical Transparent Box</t>
        </is>
      </c>
      <c r="C59" s="6" t="inlineStr">
        <is>
          <t>Classic</t>
        </is>
      </c>
      <c r="D59" s="9">
        <f>IFERROR(MINIFS('Dane dzienne'!E:E,'Dane dzienne'!B:B,A59),"-")</f>
        <v/>
      </c>
      <c r="E59" s="9">
        <f>IFERROR(ROUND(AVERAGEIF('Dane dzienne'!B:B,A59,'Dane dzienne'!E:E),2),"-")</f>
        <v/>
      </c>
      <c r="F59" s="6">
        <f>IFERROR(ROUND(AVERAGEIF('Dane dzienne'!B:B,A59,'Dane dzienne'!F:F),0),"-")</f>
        <v/>
      </c>
      <c r="G59" s="6">
        <f>IFERROR(MAXIFS('Dane dzienne'!G:G,'Dane dzienne'!B:B,A59),"-")</f>
        <v/>
      </c>
    </row>
    <row r="60">
      <c r="A60" s="4" t="inlineStr">
        <is>
          <t>30692</t>
        </is>
      </c>
      <c r="B60" s="5" t="inlineStr">
        <is>
          <t>Christmas Chimney Fun with Santa (Polybag)</t>
        </is>
      </c>
      <c r="C60" s="4" t="inlineStr">
        <is>
          <t>Creator</t>
        </is>
      </c>
      <c r="D60" s="8">
        <f>IFERROR(MINIFS('Dane dzienne'!E:E,'Dane dzienne'!B:B,A60),"-")</f>
        <v/>
      </c>
      <c r="E60" s="8">
        <f>IFERROR(ROUND(AVERAGEIF('Dane dzienne'!B:B,A60,'Dane dzienne'!E:E),2),"-")</f>
        <v/>
      </c>
      <c r="F60" s="4">
        <f>IFERROR(ROUND(AVERAGEIF('Dane dzienne'!B:B,A60,'Dane dzienne'!F:F),0),"-")</f>
        <v/>
      </c>
      <c r="G60" s="4">
        <f>IFERROR(MAXIFS('Dane dzienne'!G:G,'Dane dzienne'!B:B,A60),"-")</f>
        <v/>
      </c>
    </row>
    <row r="61">
      <c r="A61" s="6" t="inlineStr">
        <is>
          <t>30714</t>
        </is>
      </c>
      <c r="B61" s="7" t="inlineStr">
        <is>
          <t>Orange Cat (Polybag)</t>
        </is>
      </c>
      <c r="C61" s="6" t="inlineStr">
        <is>
          <t>Creator</t>
        </is>
      </c>
      <c r="D61" s="9">
        <f>IFERROR(MINIFS('Dane dzienne'!E:E,'Dane dzienne'!B:B,A61),"-")</f>
        <v/>
      </c>
      <c r="E61" s="9">
        <f>IFERROR(ROUND(AVERAGEIF('Dane dzienne'!B:B,A61,'Dane dzienne'!E:E),2),"-")</f>
        <v/>
      </c>
      <c r="F61" s="6">
        <f>IFERROR(ROUND(AVERAGEIF('Dane dzienne'!B:B,A61,'Dane dzienne'!F:F),0),"-")</f>
        <v/>
      </c>
      <c r="G61" s="6">
        <f>IFERROR(MAXIFS('Dane dzienne'!G:G,'Dane dzienne'!B:B,A61),"-")</f>
        <v/>
      </c>
    </row>
    <row r="62">
      <c r="A62" s="4" t="inlineStr">
        <is>
          <t>30715</t>
        </is>
      </c>
      <c r="B62" s="5" t="inlineStr">
        <is>
          <t>Cute Animal Birthday Party (Polybag)</t>
        </is>
      </c>
      <c r="C62" s="4" t="inlineStr">
        <is>
          <t>Creator</t>
        </is>
      </c>
      <c r="D62" s="8">
        <f>IFERROR(MINIFS('Dane dzienne'!E:E,'Dane dzienne'!B:B,A62),"-")</f>
        <v/>
      </c>
      <c r="E62" s="8">
        <f>IFERROR(ROUND(AVERAGEIF('Dane dzienne'!B:B,A62,'Dane dzienne'!E:E),2),"-")</f>
        <v/>
      </c>
      <c r="F62" s="4">
        <f>IFERROR(ROUND(AVERAGEIF('Dane dzienne'!B:B,A62,'Dane dzienne'!F:F),0),"-")</f>
        <v/>
      </c>
      <c r="G62" s="4">
        <f>IFERROR(MAXIFS('Dane dzienne'!G:G,'Dane dzienne'!B:B,A62),"-")</f>
        <v/>
      </c>
    </row>
    <row r="63">
      <c r="A63" s="6" t="inlineStr">
        <is>
          <t>30716</t>
        </is>
      </c>
      <c r="B63" s="7" t="inlineStr">
        <is>
          <t>Cute Easter Bunny (Polybag)</t>
        </is>
      </c>
      <c r="C63" s="6" t="inlineStr">
        <is>
          <t>Creator</t>
        </is>
      </c>
      <c r="D63" s="9">
        <f>IFERROR(MINIFS('Dane dzienne'!E:E,'Dane dzienne'!B:B,A63),"-")</f>
        <v/>
      </c>
      <c r="E63" s="9">
        <f>IFERROR(ROUND(AVERAGEIF('Dane dzienne'!B:B,A63,'Dane dzienne'!E:E),2),"-")</f>
        <v/>
      </c>
      <c r="F63" s="6">
        <f>IFERROR(ROUND(AVERAGEIF('Dane dzienne'!B:B,A63,'Dane dzienne'!F:F),0),"-")</f>
        <v/>
      </c>
      <c r="G63" s="6">
        <f>IFERROR(MAXIFS('Dane dzienne'!G:G,'Dane dzienne'!B:B,A63),"-")</f>
        <v/>
      </c>
    </row>
    <row r="64">
      <c r="A64" s="4" t="inlineStr">
        <is>
          <t>31136</t>
        </is>
      </c>
      <c r="B64" s="5" t="inlineStr">
        <is>
          <t>Exotic Parrot</t>
        </is>
      </c>
      <c r="C64" s="4" t="inlineStr">
        <is>
          <t>Creator</t>
        </is>
      </c>
      <c r="D64" s="8">
        <f>IFERROR(MINIFS('Dane dzienne'!E:E,'Dane dzienne'!B:B,A64),"-")</f>
        <v/>
      </c>
      <c r="E64" s="8">
        <f>IFERROR(ROUND(AVERAGEIF('Dane dzienne'!B:B,A64,'Dane dzienne'!E:E),2),"-")</f>
        <v/>
      </c>
      <c r="F64" s="4">
        <f>IFERROR(ROUND(AVERAGEIF('Dane dzienne'!B:B,A64,'Dane dzienne'!F:F),0),"-")</f>
        <v/>
      </c>
      <c r="G64" s="4">
        <f>IFERROR(MAXIFS('Dane dzienne'!G:G,'Dane dzienne'!B:B,A64),"-")</f>
        <v/>
      </c>
    </row>
    <row r="65">
      <c r="A65" s="6" t="inlineStr">
        <is>
          <t>31148</t>
        </is>
      </c>
      <c r="B65" s="7" t="inlineStr">
        <is>
          <t>Retro Roller Skate</t>
        </is>
      </c>
      <c r="C65" s="6" t="inlineStr">
        <is>
          <t>Creator</t>
        </is>
      </c>
      <c r="D65" s="9">
        <f>IFERROR(MINIFS('Dane dzienne'!E:E,'Dane dzienne'!B:B,A65),"-")</f>
        <v/>
      </c>
      <c r="E65" s="9">
        <f>IFERROR(ROUND(AVERAGEIF('Dane dzienne'!B:B,A65,'Dane dzienne'!E:E),2),"-")</f>
        <v/>
      </c>
      <c r="F65" s="6">
        <f>IFERROR(ROUND(AVERAGEIF('Dane dzienne'!B:B,A65,'Dane dzienne'!F:F),0),"-")</f>
        <v/>
      </c>
      <c r="G65" s="6">
        <f>IFERROR(MAXIFS('Dane dzienne'!G:G,'Dane dzienne'!B:B,A65),"-")</f>
        <v/>
      </c>
    </row>
    <row r="66">
      <c r="A66" s="4" t="inlineStr">
        <is>
          <t>31169</t>
        </is>
      </c>
      <c r="B66" s="5" t="inlineStr">
        <is>
          <t>Typewriter with Flowers</t>
        </is>
      </c>
      <c r="C66" s="4" t="inlineStr">
        <is>
          <t>Creator</t>
        </is>
      </c>
      <c r="D66" s="8">
        <f>IFERROR(MINIFS('Dane dzienne'!E:E,'Dane dzienne'!B:B,A66),"-")</f>
        <v/>
      </c>
      <c r="E66" s="8">
        <f>IFERROR(ROUND(AVERAGEIF('Dane dzienne'!B:B,A66,'Dane dzienne'!E:E),2),"-")</f>
        <v/>
      </c>
      <c r="F66" s="4">
        <f>IFERROR(ROUND(AVERAGEIF('Dane dzienne'!B:B,A66,'Dane dzienne'!F:F),0),"-")</f>
        <v/>
      </c>
      <c r="G66" s="4">
        <f>IFERROR(MAXIFS('Dane dzienne'!G:G,'Dane dzienne'!B:B,A66),"-")</f>
        <v/>
      </c>
    </row>
    <row r="67">
      <c r="A67" s="6" t="inlineStr">
        <is>
          <t>31171</t>
        </is>
      </c>
      <c r="B67" s="7" t="inlineStr">
        <is>
          <t>Majestic Rhino</t>
        </is>
      </c>
      <c r="C67" s="6" t="inlineStr">
        <is>
          <t>Creator</t>
        </is>
      </c>
      <c r="D67" s="9">
        <f>IFERROR(MINIFS('Dane dzienne'!E:E,'Dane dzienne'!B:B,A67),"-")</f>
        <v/>
      </c>
      <c r="E67" s="9">
        <f>IFERROR(ROUND(AVERAGEIF('Dane dzienne'!B:B,A67,'Dane dzienne'!E:E),2),"-")</f>
        <v/>
      </c>
      <c r="F67" s="6">
        <f>IFERROR(ROUND(AVERAGEIF('Dane dzienne'!B:B,A67,'Dane dzienne'!F:F),0),"-")</f>
        <v/>
      </c>
      <c r="G67" s="6">
        <f>IFERROR(MAXIFS('Dane dzienne'!G:G,'Dane dzienne'!B:B,A67),"-")</f>
        <v/>
      </c>
    </row>
    <row r="68">
      <c r="A68" s="4" t="inlineStr">
        <is>
          <t>31172</t>
        </is>
      </c>
      <c r="B68" s="5" t="inlineStr">
        <is>
          <t>Record Player with Flowers</t>
        </is>
      </c>
      <c r="C68" s="4" t="inlineStr">
        <is>
          <t>Creator</t>
        </is>
      </c>
      <c r="D68" s="8">
        <f>IFERROR(MINIFS('Dane dzienne'!E:E,'Dane dzienne'!B:B,A68),"-")</f>
        <v/>
      </c>
      <c r="E68" s="8">
        <f>IFERROR(ROUND(AVERAGEIF('Dane dzienne'!B:B,A68,'Dane dzienne'!E:E),2),"-")</f>
        <v/>
      </c>
      <c r="F68" s="4">
        <f>IFERROR(ROUND(AVERAGEIF('Dane dzienne'!B:B,A68,'Dane dzienne'!F:F),0),"-")</f>
        <v/>
      </c>
      <c r="G68" s="4">
        <f>IFERROR(MAXIFS('Dane dzienne'!G:G,'Dane dzienne'!B:B,A68),"-")</f>
        <v/>
      </c>
    </row>
    <row r="69">
      <c r="A69" s="6" t="inlineStr">
        <is>
          <t>31174</t>
        </is>
      </c>
      <c r="B69" s="7" t="inlineStr">
        <is>
          <t>Retro Telephone</t>
        </is>
      </c>
      <c r="C69" s="6" t="inlineStr">
        <is>
          <t>Creator</t>
        </is>
      </c>
      <c r="D69" s="9">
        <f>IFERROR(MINIFS('Dane dzienne'!E:E,'Dane dzienne'!B:B,A69),"-")</f>
        <v/>
      </c>
      <c r="E69" s="9">
        <f>IFERROR(ROUND(AVERAGEIF('Dane dzienne'!B:B,A69,'Dane dzienne'!E:E),2),"-")</f>
        <v/>
      </c>
      <c r="F69" s="6">
        <f>IFERROR(ROUND(AVERAGEIF('Dane dzienne'!B:B,A69,'Dane dzienne'!F:F),0),"-")</f>
        <v/>
      </c>
      <c r="G69" s="6">
        <f>IFERROR(MAXIFS('Dane dzienne'!G:G,'Dane dzienne'!B:B,A69),"-")</f>
        <v/>
      </c>
    </row>
    <row r="70">
      <c r="A70" s="4" t="inlineStr">
        <is>
          <t>31175</t>
        </is>
      </c>
      <c r="B70" s="5" t="inlineStr">
        <is>
          <t>Unicorn Castle</t>
        </is>
      </c>
      <c r="C70" s="4" t="inlineStr">
        <is>
          <t>Creator</t>
        </is>
      </c>
      <c r="D70" s="8">
        <f>IFERROR(MINIFS('Dane dzienne'!E:E,'Dane dzienne'!B:B,A70),"-")</f>
        <v/>
      </c>
      <c r="E70" s="8">
        <f>IFERROR(ROUND(AVERAGEIF('Dane dzienne'!B:B,A70,'Dane dzienne'!E:E),2),"-")</f>
        <v/>
      </c>
      <c r="F70" s="4">
        <f>IFERROR(ROUND(AVERAGEIF('Dane dzienne'!B:B,A70,'Dane dzienne'!F:F),0),"-")</f>
        <v/>
      </c>
      <c r="G70" s="4">
        <f>IFERROR(MAXIFS('Dane dzienne'!G:G,'Dane dzienne'!B:B,A70),"-")</f>
        <v/>
      </c>
    </row>
    <row r="71">
      <c r="A71" s="6" t="inlineStr">
        <is>
          <t>31378</t>
        </is>
      </c>
      <c r="B71" s="7" t="inlineStr">
        <is>
          <t>Space Exploration Telescope</t>
        </is>
      </c>
      <c r="C71" s="6" t="inlineStr">
        <is>
          <t>Creator</t>
        </is>
      </c>
      <c r="D71" s="9">
        <f>IFERROR(MINIFS('Dane dzienne'!E:E,'Dane dzienne'!B:B,A71),"-")</f>
        <v/>
      </c>
      <c r="E71" s="9">
        <f>IFERROR(ROUND(AVERAGEIF('Dane dzienne'!B:B,A71,'Dane dzienne'!E:E),2),"-")</f>
        <v/>
      </c>
      <c r="F71" s="6">
        <f>IFERROR(ROUND(AVERAGEIF('Dane dzienne'!B:B,A71,'Dane dzienne'!F:F),0),"-")</f>
        <v/>
      </c>
      <c r="G71" s="6">
        <f>IFERROR(MAXIFS('Dane dzienne'!G:G,'Dane dzienne'!B:B,A71),"-")</f>
        <v/>
      </c>
    </row>
    <row r="72">
      <c r="A72" s="4" t="inlineStr">
        <is>
          <t>40468</t>
        </is>
      </c>
      <c r="B72" s="5" t="inlineStr">
        <is>
          <t>Yellow Taxi</t>
        </is>
      </c>
      <c r="C72" s="4" t="inlineStr">
        <is>
          <t>Creator</t>
        </is>
      </c>
      <c r="D72" s="8">
        <f>IFERROR(MINIFS('Dane dzienne'!E:E,'Dane dzienne'!B:B,A72),"-")</f>
        <v/>
      </c>
      <c r="E72" s="8">
        <f>IFERROR(ROUND(AVERAGEIF('Dane dzienne'!B:B,A72,'Dane dzienne'!E:E),2),"-")</f>
        <v/>
      </c>
      <c r="F72" s="4">
        <f>IFERROR(ROUND(AVERAGEIF('Dane dzienne'!B:B,A72,'Dane dzienne'!F:F),0),"-")</f>
        <v/>
      </c>
      <c r="G72" s="4">
        <f>IFERROR(MAXIFS('Dane dzienne'!G:G,'Dane dzienne'!B:B,A72),"-")</f>
        <v/>
      </c>
    </row>
    <row r="73">
      <c r="A73" s="6" t="inlineStr">
        <is>
          <t>30726</t>
        </is>
      </c>
      <c r="B73" s="7" t="inlineStr">
        <is>
          <t>Batman: Bruce Wayne and the Batsuit (Polybag)</t>
        </is>
      </c>
      <c r="C73" s="6" t="inlineStr">
        <is>
          <t>DC</t>
        </is>
      </c>
      <c r="D73" s="9">
        <f>IFERROR(MINIFS('Dane dzienne'!E:E,'Dane dzienne'!B:B,A73),"-")</f>
        <v/>
      </c>
      <c r="E73" s="9">
        <f>IFERROR(ROUND(AVERAGEIF('Dane dzienne'!B:B,A73,'Dane dzienne'!E:E),2),"-")</f>
        <v/>
      </c>
      <c r="F73" s="6">
        <f>IFERROR(ROUND(AVERAGEIF('Dane dzienne'!B:B,A73,'Dane dzienne'!F:F),0),"-")</f>
        <v/>
      </c>
      <c r="G73" s="6">
        <f>IFERROR(MAXIFS('Dane dzienne'!G:G,'Dane dzienne'!B:B,A73),"-")</f>
        <v/>
      </c>
    </row>
    <row r="74">
      <c r="A74" s="4" t="inlineStr">
        <is>
          <t>76303</t>
        </is>
      </c>
      <c r="B74" s="5" t="inlineStr">
        <is>
          <t>Batman Tumbler vs. Two-Face &amp; The Joker</t>
        </is>
      </c>
      <c r="C74" s="4" t="inlineStr">
        <is>
          <t>DC</t>
        </is>
      </c>
      <c r="D74" s="8">
        <f>IFERROR(MINIFS('Dane dzienne'!E:E,'Dane dzienne'!B:B,A74),"-")</f>
        <v/>
      </c>
      <c r="E74" s="8">
        <f>IFERROR(ROUND(AVERAGEIF('Dane dzienne'!B:B,A74,'Dane dzienne'!E:E),2),"-")</f>
        <v/>
      </c>
      <c r="F74" s="4">
        <f>IFERROR(ROUND(AVERAGEIF('Dane dzienne'!B:B,A74,'Dane dzienne'!F:F),0),"-")</f>
        <v/>
      </c>
      <c r="G74" s="4">
        <f>IFERROR(MAXIFS('Dane dzienne'!G:G,'Dane dzienne'!B:B,A74),"-")</f>
        <v/>
      </c>
    </row>
    <row r="75">
      <c r="A75" s="6" t="inlineStr">
        <is>
          <t>76304</t>
        </is>
      </c>
      <c r="B75" s="7" t="inlineStr">
        <is>
          <t>Batman Forever Batmobile</t>
        </is>
      </c>
      <c r="C75" s="6" t="inlineStr">
        <is>
          <t>DC</t>
        </is>
      </c>
      <c r="D75" s="9">
        <f>IFERROR(MINIFS('Dane dzienne'!E:E,'Dane dzienne'!B:B,A75),"-")</f>
        <v/>
      </c>
      <c r="E75" s="9">
        <f>IFERROR(ROUND(AVERAGEIF('Dane dzienne'!B:B,A75,'Dane dzienne'!E:E),2),"-")</f>
        <v/>
      </c>
      <c r="F75" s="6">
        <f>IFERROR(ROUND(AVERAGEIF('Dane dzienne'!B:B,A75,'Dane dzienne'!F:F),0),"-")</f>
        <v/>
      </c>
      <c r="G75" s="6">
        <f>IFERROR(MAXIFS('Dane dzienne'!G:G,'Dane dzienne'!B:B,A75),"-")</f>
        <v/>
      </c>
    </row>
    <row r="76">
      <c r="A76" s="4" t="inlineStr">
        <is>
          <t>30720</t>
        </is>
      </c>
      <c r="B76" s="5" t="inlineStr">
        <is>
          <t>Ariel and Flounder's Birthday Music Fun (Polybag)</t>
        </is>
      </c>
      <c r="C76" s="4" t="inlineStr">
        <is>
          <t>Disney</t>
        </is>
      </c>
      <c r="D76" s="8">
        <f>IFERROR(MINIFS('Dane dzienne'!E:E,'Dane dzienne'!B:B,A76),"-")</f>
        <v/>
      </c>
      <c r="E76" s="8">
        <f>IFERROR(ROUND(AVERAGEIF('Dane dzienne'!B:B,A76,'Dane dzienne'!E:E),2),"-")</f>
        <v/>
      </c>
      <c r="F76" s="4">
        <f>IFERROR(ROUND(AVERAGEIF('Dane dzienne'!B:B,A76,'Dane dzienne'!F:F),0),"-")</f>
        <v/>
      </c>
      <c r="G76" s="4">
        <f>IFERROR(MAXIFS('Dane dzienne'!G:G,'Dane dzienne'!B:B,A76),"-")</f>
        <v/>
      </c>
    </row>
    <row r="77">
      <c r="A77" s="6" t="inlineStr">
        <is>
          <t>40708</t>
        </is>
      </c>
      <c r="B77" s="7" t="inlineStr">
        <is>
          <t>Mini Disney Ariel's Castle</t>
        </is>
      </c>
      <c r="C77" s="6" t="inlineStr">
        <is>
          <t>Disney</t>
        </is>
      </c>
      <c r="D77" s="9">
        <f>IFERROR(MINIFS('Dane dzienne'!E:E,'Dane dzienne'!B:B,A77),"-")</f>
        <v/>
      </c>
      <c r="E77" s="9">
        <f>IFERROR(ROUND(AVERAGEIF('Dane dzienne'!B:B,A77,'Dane dzienne'!E:E),2),"-")</f>
        <v/>
      </c>
      <c r="F77" s="6">
        <f>IFERROR(ROUND(AVERAGEIF('Dane dzienne'!B:B,A77,'Dane dzienne'!F:F),0),"-")</f>
        <v/>
      </c>
      <c r="G77" s="6">
        <f>IFERROR(MAXIFS('Dane dzienne'!G:G,'Dane dzienne'!B:B,A77),"-")</f>
        <v/>
      </c>
    </row>
    <row r="78">
      <c r="A78" s="4" t="inlineStr">
        <is>
          <t>43217</t>
        </is>
      </c>
      <c r="B78" s="5" t="inlineStr">
        <is>
          <t>'Up' House</t>
        </is>
      </c>
      <c r="C78" s="4" t="inlineStr">
        <is>
          <t>Disney</t>
        </is>
      </c>
      <c r="D78" s="8">
        <f>IFERROR(MINIFS('Dane dzienne'!E:E,'Dane dzienne'!B:B,A78),"-")</f>
        <v/>
      </c>
      <c r="E78" s="8">
        <f>IFERROR(ROUND(AVERAGEIF('Dane dzienne'!B:B,A78,'Dane dzienne'!E:E),2),"-")</f>
        <v/>
      </c>
      <c r="F78" s="4">
        <f>IFERROR(ROUND(AVERAGEIF('Dane dzienne'!B:B,A78,'Dane dzienne'!F:F),0),"-")</f>
        <v/>
      </c>
      <c r="G78" s="4">
        <f>IFERROR(MAXIFS('Dane dzienne'!G:G,'Dane dzienne'!B:B,A78),"-")</f>
        <v/>
      </c>
    </row>
    <row r="79">
      <c r="A79" s="6" t="inlineStr">
        <is>
          <t>43258</t>
        </is>
      </c>
      <c r="B79" s="7" t="inlineStr">
        <is>
          <t>Kakamora Barge</t>
        </is>
      </c>
      <c r="C79" s="6" t="inlineStr">
        <is>
          <t>Disney</t>
        </is>
      </c>
      <c r="D79" s="9">
        <f>IFERROR(MINIFS('Dane dzienne'!E:E,'Dane dzienne'!B:B,A79),"-")</f>
        <v/>
      </c>
      <c r="E79" s="9">
        <f>IFERROR(ROUND(AVERAGEIF('Dane dzienne'!B:B,A79,'Dane dzienne'!E:E),2),"-")</f>
        <v/>
      </c>
      <c r="F79" s="6">
        <f>IFERROR(ROUND(AVERAGEIF('Dane dzienne'!B:B,A79,'Dane dzienne'!F:F),0),"-")</f>
        <v/>
      </c>
      <c r="G79" s="6">
        <f>IFERROR(MAXIFS('Dane dzienne'!G:G,'Dane dzienne'!B:B,A79),"-")</f>
        <v/>
      </c>
    </row>
    <row r="80">
      <c r="A80" s="4" t="inlineStr">
        <is>
          <t>43260</t>
        </is>
      </c>
      <c r="B80" s="5" t="inlineStr">
        <is>
          <t>Moana's Island Fun</t>
        </is>
      </c>
      <c r="C80" s="4" t="inlineStr">
        <is>
          <t>Disney</t>
        </is>
      </c>
      <c r="D80" s="8">
        <f>IFERROR(MINIFS('Dane dzienne'!E:E,'Dane dzienne'!B:B,A80),"-")</f>
        <v/>
      </c>
      <c r="E80" s="8">
        <f>IFERROR(ROUND(AVERAGEIF('Dane dzienne'!B:B,A80,'Dane dzienne'!E:E),2),"-")</f>
        <v/>
      </c>
      <c r="F80" s="4">
        <f>IFERROR(ROUND(AVERAGEIF('Dane dzienne'!B:B,A80,'Dane dzienne'!F:F),0),"-")</f>
        <v/>
      </c>
      <c r="G80" s="4">
        <f>IFERROR(MAXIFS('Dane dzienne'!G:G,'Dane dzienne'!B:B,A80),"-")</f>
        <v/>
      </c>
    </row>
    <row r="81">
      <c r="A81" s="6" t="inlineStr">
        <is>
          <t>43262</t>
        </is>
      </c>
      <c r="B81" s="7" t="inlineStr">
        <is>
          <t>Maleficent's and Cruella De Vil's Dresses</t>
        </is>
      </c>
      <c r="C81" s="6" t="inlineStr">
        <is>
          <t>Disney</t>
        </is>
      </c>
      <c r="D81" s="9">
        <f>IFERROR(MINIFS('Dane dzienne'!E:E,'Dane dzienne'!B:B,A81),"-")</f>
        <v/>
      </c>
      <c r="E81" s="9">
        <f>IFERROR(ROUND(AVERAGEIF('Dane dzienne'!B:B,A81,'Dane dzienne'!E:E),2),"-")</f>
        <v/>
      </c>
      <c r="F81" s="6">
        <f>IFERROR(ROUND(AVERAGEIF('Dane dzienne'!B:B,A81,'Dane dzienne'!F:F),0),"-")</f>
        <v/>
      </c>
      <c r="G81" s="6">
        <f>IFERROR(MAXIFS('Dane dzienne'!G:G,'Dane dzienne'!B:B,A81),"-")</f>
        <v/>
      </c>
    </row>
    <row r="82">
      <c r="A82" s="4" t="inlineStr">
        <is>
          <t>43263</t>
        </is>
      </c>
      <c r="B82" s="5" t="inlineStr">
        <is>
          <t>Beauty and the Beast Castle</t>
        </is>
      </c>
      <c r="C82" s="4" t="inlineStr">
        <is>
          <t>Disney</t>
        </is>
      </c>
      <c r="D82" s="8">
        <f>IFERROR(MINIFS('Dane dzienne'!E:E,'Dane dzienne'!B:B,A82),"-")</f>
        <v/>
      </c>
      <c r="E82" s="8">
        <f>IFERROR(ROUND(AVERAGEIF('Dane dzienne'!B:B,A82,'Dane dzienne'!E:E),2),"-")</f>
        <v/>
      </c>
      <c r="F82" s="4">
        <f>IFERROR(ROUND(AVERAGEIF('Dane dzienne'!B:B,A82,'Dane dzienne'!F:F),0),"-")</f>
        <v/>
      </c>
      <c r="G82" s="4">
        <f>IFERROR(MAXIFS('Dane dzienne'!G:G,'Dane dzienne'!B:B,A82),"-")</f>
        <v/>
      </c>
    </row>
    <row r="83">
      <c r="A83" s="6" t="inlineStr">
        <is>
          <t>43264</t>
        </is>
      </c>
      <c r="B83" s="7" t="inlineStr">
        <is>
          <t>Toy Story Celebration Train &amp; RC Car</t>
        </is>
      </c>
      <c r="C83" s="6" t="inlineStr">
        <is>
          <t>Disney</t>
        </is>
      </c>
      <c r="D83" s="9">
        <f>IFERROR(MINIFS('Dane dzienne'!E:E,'Dane dzienne'!B:B,A83),"-")</f>
        <v/>
      </c>
      <c r="E83" s="9">
        <f>IFERROR(ROUND(AVERAGEIF('Dane dzienne'!B:B,A83,'Dane dzienne'!E:E),2),"-")</f>
        <v/>
      </c>
      <c r="F83" s="6">
        <f>IFERROR(ROUND(AVERAGEIF('Dane dzienne'!B:B,A83,'Dane dzienne'!F:F),0),"-")</f>
        <v/>
      </c>
      <c r="G83" s="6">
        <f>IFERROR(MAXIFS('Dane dzienne'!G:G,'Dane dzienne'!B:B,A83),"-")</f>
        <v/>
      </c>
    </row>
    <row r="84">
      <c r="A84" s="4" t="inlineStr">
        <is>
          <t>43265</t>
        </is>
      </c>
      <c r="B84" s="5" t="inlineStr">
        <is>
          <t>Arendelle Frozen Castle</t>
        </is>
      </c>
      <c r="C84" s="4" t="inlineStr">
        <is>
          <t>Disney</t>
        </is>
      </c>
      <c r="D84" s="8">
        <f>IFERROR(MINIFS('Dane dzienne'!E:E,'Dane dzienne'!B:B,A84),"-")</f>
        <v/>
      </c>
      <c r="E84" s="8">
        <f>IFERROR(ROUND(AVERAGEIF('Dane dzienne'!B:B,A84,'Dane dzienne'!E:E),2),"-")</f>
        <v/>
      </c>
      <c r="F84" s="4">
        <f>IFERROR(ROUND(AVERAGEIF('Dane dzienne'!B:B,A84,'Dane dzienne'!F:F),0),"-")</f>
        <v/>
      </c>
      <c r="G84" s="4">
        <f>IFERROR(MAXIFS('Dane dzienne'!G:G,'Dane dzienne'!B:B,A84),"-")</f>
        <v/>
      </c>
    </row>
    <row r="85">
      <c r="A85" s="6" t="inlineStr">
        <is>
          <t>43267</t>
        </is>
      </c>
      <c r="B85" s="7" t="inlineStr">
        <is>
          <t>Princess Castle &amp; Royal Pets</t>
        </is>
      </c>
      <c r="C85" s="6" t="inlineStr">
        <is>
          <t>Disney</t>
        </is>
      </c>
      <c r="D85" s="9">
        <f>IFERROR(MINIFS('Dane dzienne'!E:E,'Dane dzienne'!B:B,A85),"-")</f>
        <v/>
      </c>
      <c r="E85" s="9">
        <f>IFERROR(ROUND(AVERAGEIF('Dane dzienne'!B:B,A85,'Dane dzienne'!E:E),2),"-")</f>
        <v/>
      </c>
      <c r="F85" s="6">
        <f>IFERROR(ROUND(AVERAGEIF('Dane dzienne'!B:B,A85,'Dane dzienne'!F:F),0),"-")</f>
        <v/>
      </c>
      <c r="G85" s="6">
        <f>IFERROR(MAXIFS('Dane dzienne'!G:G,'Dane dzienne'!B:B,A85),"-")</f>
        <v/>
      </c>
    </row>
    <row r="86">
      <c r="A86" s="4" t="inlineStr">
        <is>
          <t>43268</t>
        </is>
      </c>
      <c r="B86" s="5" t="inlineStr">
        <is>
          <t>Lilo and Stitch Beach House</t>
        </is>
      </c>
      <c r="C86" s="4" t="inlineStr">
        <is>
          <t>Disney</t>
        </is>
      </c>
      <c r="D86" s="8">
        <f>IFERROR(MINIFS('Dane dzienne'!E:E,'Dane dzienne'!B:B,A86),"-")</f>
        <v/>
      </c>
      <c r="E86" s="8">
        <f>IFERROR(ROUND(AVERAGEIF('Dane dzienne'!B:B,A86,'Dane dzienne'!E:E),2),"-")</f>
        <v/>
      </c>
      <c r="F86" s="4">
        <f>IFERROR(ROUND(AVERAGEIF('Dane dzienne'!B:B,A86,'Dane dzienne'!F:F),0),"-")</f>
        <v/>
      </c>
      <c r="G86" s="4">
        <f>IFERROR(MAXIFS('Dane dzienne'!G:G,'Dane dzienne'!B:B,A86),"-")</f>
        <v/>
      </c>
    </row>
    <row r="87">
      <c r="A87" s="6" t="inlineStr">
        <is>
          <t>43270</t>
        </is>
      </c>
      <c r="B87" s="7" t="inlineStr">
        <is>
          <t>Moana Adventure Canoe</t>
        </is>
      </c>
      <c r="C87" s="6" t="inlineStr">
        <is>
          <t>Disney</t>
        </is>
      </c>
      <c r="D87" s="9">
        <f>IFERROR(MINIFS('Dane dzienne'!E:E,'Dane dzienne'!B:B,A87),"-")</f>
        <v/>
      </c>
      <c r="E87" s="9">
        <f>IFERROR(ROUND(AVERAGEIF('Dane dzienne'!B:B,A87,'Dane dzienne'!E:E),2),"-")</f>
        <v/>
      </c>
      <c r="F87" s="6">
        <f>IFERROR(ROUND(AVERAGEIF('Dane dzienne'!B:B,A87,'Dane dzienne'!F:F),0),"-")</f>
        <v/>
      </c>
      <c r="G87" s="6">
        <f>IFERROR(MAXIFS('Dane dzienne'!G:G,'Dane dzienne'!B:B,A87),"-")</f>
        <v/>
      </c>
    </row>
    <row r="88">
      <c r="A88" s="4" t="inlineStr">
        <is>
          <t>43272</t>
        </is>
      </c>
      <c r="B88" s="5" t="inlineStr">
        <is>
          <t>Heihei</t>
        </is>
      </c>
      <c r="C88" s="4" t="inlineStr">
        <is>
          <t>Disney</t>
        </is>
      </c>
      <c r="D88" s="8">
        <f>IFERROR(MINIFS('Dane dzienne'!E:E,'Dane dzienne'!B:B,A88),"-")</f>
        <v/>
      </c>
      <c r="E88" s="8">
        <f>IFERROR(ROUND(AVERAGEIF('Dane dzienne'!B:B,A88,'Dane dzienne'!E:E),2),"-")</f>
        <v/>
      </c>
      <c r="F88" s="4">
        <f>IFERROR(ROUND(AVERAGEIF('Dane dzienne'!B:B,A88,'Dane dzienne'!F:F),0),"-")</f>
        <v/>
      </c>
      <c r="G88" s="4">
        <f>IFERROR(MAXIFS('Dane dzienne'!G:G,'Dane dzienne'!B:B,A88),"-")</f>
        <v/>
      </c>
    </row>
    <row r="89">
      <c r="A89" s="6" t="inlineStr">
        <is>
          <t>43277</t>
        </is>
      </c>
      <c r="B89" s="7" t="inlineStr">
        <is>
          <t>Cruella De Vil's Car</t>
        </is>
      </c>
      <c r="C89" s="6" t="inlineStr">
        <is>
          <t>Disney</t>
        </is>
      </c>
      <c r="D89" s="9">
        <f>IFERROR(MINIFS('Dane dzienne'!E:E,'Dane dzienne'!B:B,A89),"-")</f>
        <v/>
      </c>
      <c r="E89" s="9">
        <f>IFERROR(ROUND(AVERAGEIF('Dane dzienne'!B:B,A89,'Dane dzienne'!E:E),2),"-")</f>
        <v/>
      </c>
      <c r="F89" s="6">
        <f>IFERROR(ROUND(AVERAGEIF('Dane dzienne'!B:B,A89,'Dane dzienne'!F:F),0),"-")</f>
        <v/>
      </c>
      <c r="G89" s="6">
        <f>IFERROR(MAXIFS('Dane dzienne'!G:G,'Dane dzienne'!B:B,A89),"-")</f>
        <v/>
      </c>
    </row>
    <row r="90">
      <c r="A90" s="4" t="inlineStr">
        <is>
          <t>43278</t>
        </is>
      </c>
      <c r="B90" s="5" t="inlineStr">
        <is>
          <t>Mini Arendelle Castle &amp; Elsa's Ice Palace</t>
        </is>
      </c>
      <c r="C90" s="4" t="inlineStr">
        <is>
          <t>Disney</t>
        </is>
      </c>
      <c r="D90" s="8">
        <f>IFERROR(MINIFS('Dane dzienne'!E:E,'Dane dzienne'!B:B,A90),"-")</f>
        <v/>
      </c>
      <c r="E90" s="8">
        <f>IFERROR(ROUND(AVERAGEIF('Dane dzienne'!B:B,A90,'Dane dzienne'!E:E),2),"-")</f>
        <v/>
      </c>
      <c r="F90" s="4">
        <f>IFERROR(ROUND(AVERAGEIF('Dane dzienne'!B:B,A90,'Dane dzienne'!F:F),0),"-")</f>
        <v/>
      </c>
      <c r="G90" s="4">
        <f>IFERROR(MAXIFS('Dane dzienne'!G:G,'Dane dzienne'!B:B,A90),"-")</f>
        <v/>
      </c>
    </row>
    <row r="91">
      <c r="A91" s="6" t="inlineStr">
        <is>
          <t>43284</t>
        </is>
      </c>
      <c r="B91" s="7" t="inlineStr">
        <is>
          <t>Mini Anna &amp; Elsa</t>
        </is>
      </c>
      <c r="C91" s="6" t="inlineStr">
        <is>
          <t>Disney</t>
        </is>
      </c>
      <c r="D91" s="9">
        <f>IFERROR(MINIFS('Dane dzienne'!E:E,'Dane dzienne'!B:B,A91),"-")</f>
        <v/>
      </c>
      <c r="E91" s="9">
        <f>IFERROR(ROUND(AVERAGEIF('Dane dzienne'!B:B,A91,'Dane dzienne'!E:E),2),"-")</f>
        <v/>
      </c>
      <c r="F91" s="6">
        <f>IFERROR(ROUND(AVERAGEIF('Dane dzienne'!B:B,A91,'Dane dzienne'!F:F),0),"-")</f>
        <v/>
      </c>
      <c r="G91" s="6">
        <f>IFERROR(MAXIFS('Dane dzienne'!G:G,'Dane dzienne'!B:B,A91),"-")</f>
        <v/>
      </c>
    </row>
    <row r="92">
      <c r="A92" s="4" t="inlineStr">
        <is>
          <t>43285</t>
        </is>
      </c>
      <c r="B92" s="5" t="inlineStr">
        <is>
          <t>Ariel's Magical Mini Palace</t>
        </is>
      </c>
      <c r="C92" s="4" t="inlineStr">
        <is>
          <t>Disney</t>
        </is>
      </c>
      <c r="D92" s="8">
        <f>IFERROR(MINIFS('Dane dzienne'!E:E,'Dane dzienne'!B:B,A92),"-")</f>
        <v/>
      </c>
      <c r="E92" s="8">
        <f>IFERROR(ROUND(AVERAGEIF('Dane dzienne'!B:B,A92,'Dane dzienne'!E:E),2),"-")</f>
        <v/>
      </c>
      <c r="F92" s="4">
        <f>IFERROR(ROUND(AVERAGEIF('Dane dzienne'!B:B,A92,'Dane dzienne'!F:F),0),"-")</f>
        <v/>
      </c>
      <c r="G92" s="4">
        <f>IFERROR(MAXIFS('Dane dzienne'!G:G,'Dane dzienne'!B:B,A92),"-")</f>
        <v/>
      </c>
    </row>
    <row r="93">
      <c r="A93" s="6" t="inlineStr">
        <is>
          <t>43291</t>
        </is>
      </c>
      <c r="B93" s="7" t="inlineStr">
        <is>
          <t>Mini Belle &amp; Tiana with Castle</t>
        </is>
      </c>
      <c r="C93" s="6" t="inlineStr">
        <is>
          <t>Disney</t>
        </is>
      </c>
      <c r="D93" s="9">
        <f>IFERROR(MINIFS('Dane dzienne'!E:E,'Dane dzienne'!B:B,A93),"-")</f>
        <v/>
      </c>
      <c r="E93" s="9">
        <f>IFERROR(ROUND(AVERAGEIF('Dane dzienne'!B:B,A93,'Dane dzienne'!E:E),2),"-")</f>
        <v/>
      </c>
      <c r="F93" s="6">
        <f>IFERROR(ROUND(AVERAGEIF('Dane dzienne'!B:B,A93,'Dane dzienne'!F:F),0),"-")</f>
        <v/>
      </c>
      <c r="G93" s="6">
        <f>IFERROR(MAXIFS('Dane dzienne'!G:G,'Dane dzienne'!B:B,A93),"-")</f>
        <v/>
      </c>
    </row>
    <row r="94">
      <c r="A94" s="4" t="inlineStr">
        <is>
          <t>43298</t>
        </is>
      </c>
      <c r="B94" s="5" t="inlineStr">
        <is>
          <t>LEGO Disney Advent Calendar 2026</t>
        </is>
      </c>
      <c r="C94" s="4" t="inlineStr">
        <is>
          <t>Disney</t>
        </is>
      </c>
      <c r="D94" s="8">
        <f>IFERROR(MINIFS('Dane dzienne'!E:E,'Dane dzienne'!B:B,A94),"-")</f>
        <v/>
      </c>
      <c r="E94" s="8">
        <f>IFERROR(ROUND(AVERAGEIF('Dane dzienne'!B:B,A94,'Dane dzienne'!E:E),2),"-")</f>
        <v/>
      </c>
      <c r="F94" s="4">
        <f>IFERROR(ROUND(AVERAGEIF('Dane dzienne'!B:B,A94,'Dane dzienne'!F:F),0),"-")</f>
        <v/>
      </c>
      <c r="G94" s="4">
        <f>IFERROR(MAXIFS('Dane dzienne'!G:G,'Dane dzienne'!B:B,A94),"-")</f>
        <v/>
      </c>
    </row>
    <row r="95">
      <c r="A95" s="6" t="inlineStr">
        <is>
          <t>43303</t>
        </is>
      </c>
      <c r="B95" s="7" t="inlineStr">
        <is>
          <t>Mini Jasmine &amp; Rapunzel</t>
        </is>
      </c>
      <c r="C95" s="6" t="inlineStr">
        <is>
          <t>Disney</t>
        </is>
      </c>
      <c r="D95" s="9">
        <f>IFERROR(MINIFS('Dane dzienne'!E:E,'Dane dzienne'!B:B,A95),"-")</f>
        <v/>
      </c>
      <c r="E95" s="9">
        <f>IFERROR(ROUND(AVERAGEIF('Dane dzienne'!B:B,A95,'Dane dzienne'!E:E),2),"-")</f>
        <v/>
      </c>
      <c r="F95" s="6">
        <f>IFERROR(ROUND(AVERAGEIF('Dane dzienne'!B:B,A95,'Dane dzienne'!F:F),0),"-")</f>
        <v/>
      </c>
      <c r="G95" s="6">
        <f>IFERROR(MAXIFS('Dane dzienne'!G:G,'Dane dzienne'!B:B,A95),"-")</f>
        <v/>
      </c>
    </row>
    <row r="96">
      <c r="A96" s="4" t="inlineStr">
        <is>
          <t>71492</t>
        </is>
      </c>
      <c r="B96" s="5" t="inlineStr">
        <is>
          <t>Mateo's Fire Chameleon</t>
        </is>
      </c>
      <c r="C96" s="4" t="inlineStr">
        <is>
          <t>DREAMZzz</t>
        </is>
      </c>
      <c r="D96" s="8">
        <f>IFERROR(MINIFS('Dane dzienne'!E:E,'Dane dzienne'!B:B,A96),"-")</f>
        <v/>
      </c>
      <c r="E96" s="8">
        <f>IFERROR(ROUND(AVERAGEIF('Dane dzienne'!B:B,A96,'Dane dzienne'!E:E),2),"-")</f>
        <v/>
      </c>
      <c r="F96" s="4">
        <f>IFERROR(ROUND(AVERAGEIF('Dane dzienne'!B:B,A96,'Dane dzienne'!F:F),0),"-")</f>
        <v/>
      </c>
      <c r="G96" s="4">
        <f>IFERROR(MAXIFS('Dane dzienne'!G:G,'Dane dzienne'!B:B,A96),"-")</f>
        <v/>
      </c>
    </row>
    <row r="97">
      <c r="A97" s="6" t="inlineStr">
        <is>
          <t>71499</t>
        </is>
      </c>
      <c r="B97" s="7" t="inlineStr">
        <is>
          <t>Mateo's Spray Paint Truck</t>
        </is>
      </c>
      <c r="C97" s="6" t="inlineStr">
        <is>
          <t>DREAMZzz</t>
        </is>
      </c>
      <c r="D97" s="9">
        <f>IFERROR(MINIFS('Dane dzienne'!E:E,'Dane dzienne'!B:B,A97),"-")</f>
        <v/>
      </c>
      <c r="E97" s="9">
        <f>IFERROR(ROUND(AVERAGEIF('Dane dzienne'!B:B,A97,'Dane dzienne'!E:E),2),"-")</f>
        <v/>
      </c>
      <c r="F97" s="6">
        <f>IFERROR(ROUND(AVERAGEIF('Dane dzienne'!B:B,A97,'Dane dzienne'!F:F),0),"-")</f>
        <v/>
      </c>
      <c r="G97" s="6">
        <f>IFERROR(MAXIFS('Dane dzienne'!G:G,'Dane dzienne'!B:B,A97),"-")</f>
        <v/>
      </c>
    </row>
    <row r="98">
      <c r="A98" s="4" t="inlineStr">
        <is>
          <t>71500</t>
        </is>
      </c>
      <c r="B98" s="5" t="inlineStr">
        <is>
          <t>Nightmare Shark Submarine</t>
        </is>
      </c>
      <c r="C98" s="4" t="inlineStr">
        <is>
          <t>DREAMZzz</t>
        </is>
      </c>
      <c r="D98" s="8">
        <f>IFERROR(MINIFS('Dane dzienne'!E:E,'Dane dzienne'!B:B,A98),"-")</f>
        <v/>
      </c>
      <c r="E98" s="8">
        <f>IFERROR(ROUND(AVERAGEIF('Dane dzienne'!B:B,A98,'Dane dzienne'!E:E),2),"-")</f>
        <v/>
      </c>
      <c r="F98" s="4">
        <f>IFERROR(ROUND(AVERAGEIF('Dane dzienne'!B:B,A98,'Dane dzienne'!F:F),0),"-")</f>
        <v/>
      </c>
      <c r="G98" s="4">
        <f>IFERROR(MAXIFS('Dane dzienne'!G:G,'Dane dzienne'!B:B,A98),"-")</f>
        <v/>
      </c>
    </row>
    <row r="99">
      <c r="A99" s="6" t="inlineStr">
        <is>
          <t>71508</t>
        </is>
      </c>
      <c r="B99" s="7" t="inlineStr">
        <is>
          <t>Fox Guardian Mech</t>
        </is>
      </c>
      <c r="C99" s="6" t="inlineStr">
        <is>
          <t>DREAMZzz</t>
        </is>
      </c>
      <c r="D99" s="9">
        <f>IFERROR(MINIFS('Dane dzienne'!E:E,'Dane dzienne'!B:B,A99),"-")</f>
        <v/>
      </c>
      <c r="E99" s="9">
        <f>IFERROR(ROUND(AVERAGEIF('Dane dzienne'!B:B,A99,'Dane dzienne'!E:E),2),"-")</f>
        <v/>
      </c>
      <c r="F99" s="6">
        <f>IFERROR(ROUND(AVERAGEIF('Dane dzienne'!B:B,A99,'Dane dzienne'!F:F),0),"-")</f>
        <v/>
      </c>
      <c r="G99" s="6">
        <f>IFERROR(MAXIFS('Dane dzienne'!G:G,'Dane dzienne'!B:B,A99),"-")</f>
        <v/>
      </c>
    </row>
    <row r="100">
      <c r="A100" s="4" t="inlineStr">
        <is>
          <t>71512</t>
        </is>
      </c>
      <c r="B100" s="5" t="inlineStr">
        <is>
          <t>Crocodile Submarine</t>
        </is>
      </c>
      <c r="C100" s="4" t="inlineStr">
        <is>
          <t>DREAMZzz</t>
        </is>
      </c>
      <c r="D100" s="8">
        <f>IFERROR(MINIFS('Dane dzienne'!E:E,'Dane dzienne'!B:B,A100),"-")</f>
        <v/>
      </c>
      <c r="E100" s="8">
        <f>IFERROR(ROUND(AVERAGEIF('Dane dzienne'!B:B,A100,'Dane dzienne'!E:E),2),"-")</f>
        <v/>
      </c>
      <c r="F100" s="4">
        <f>IFERROR(ROUND(AVERAGEIF('Dane dzienne'!B:B,A100,'Dane dzienne'!F:F),0),"-")</f>
        <v/>
      </c>
      <c r="G100" s="4">
        <f>IFERROR(MAXIFS('Dane dzienne'!G:G,'Dane dzienne'!B:B,A100),"-")</f>
        <v/>
      </c>
    </row>
    <row r="101">
      <c r="A101" s="6" t="inlineStr">
        <is>
          <t>71513</t>
        </is>
      </c>
      <c r="B101" s="7" t="inlineStr">
        <is>
          <t>Nightmare Scorpion Digger</t>
        </is>
      </c>
      <c r="C101" s="6" t="inlineStr">
        <is>
          <t>DREAMZzz</t>
        </is>
      </c>
      <c r="D101" s="9">
        <f>IFERROR(MINIFS('Dane dzienne'!E:E,'Dane dzienne'!B:B,A101),"-")</f>
        <v/>
      </c>
      <c r="E101" s="9">
        <f>IFERROR(ROUND(AVERAGEIF('Dane dzienne'!B:B,A101,'Dane dzienne'!E:E),2),"-")</f>
        <v/>
      </c>
      <c r="F101" s="6">
        <f>IFERROR(ROUND(AVERAGEIF('Dane dzienne'!B:B,A101,'Dane dzienne'!F:F),0),"-")</f>
        <v/>
      </c>
      <c r="G101" s="6">
        <f>IFERROR(MAXIFS('Dane dzienne'!G:G,'Dane dzienne'!B:B,A101),"-")</f>
        <v/>
      </c>
    </row>
    <row r="102">
      <c r="A102" s="4" t="inlineStr">
        <is>
          <t>71514</t>
        </is>
      </c>
      <c r="B102" s="5" t="inlineStr">
        <is>
          <t>Dino Jet</t>
        </is>
      </c>
      <c r="C102" s="4" t="inlineStr">
        <is>
          <t>DREAMZzz</t>
        </is>
      </c>
      <c r="D102" s="8">
        <f>IFERROR(MINIFS('Dane dzienne'!E:E,'Dane dzienne'!B:B,A102),"-")</f>
        <v/>
      </c>
      <c r="E102" s="8">
        <f>IFERROR(ROUND(AVERAGEIF('Dane dzienne'!B:B,A102,'Dane dzienne'!E:E),2),"-")</f>
        <v/>
      </c>
      <c r="F102" s="4">
        <f>IFERROR(ROUND(AVERAGEIF('Dane dzienne'!B:B,A102,'Dane dzienne'!F:F),0),"-")</f>
        <v/>
      </c>
      <c r="G102" s="4">
        <f>IFERROR(MAXIFS('Dane dzienne'!G:G,'Dane dzienne'!B:B,A102),"-")</f>
        <v/>
      </c>
    </row>
    <row r="103">
      <c r="A103" s="6" t="inlineStr">
        <is>
          <t>71515</t>
        </is>
      </c>
      <c r="B103" s="7" t="inlineStr">
        <is>
          <t>Tiger Shark Tank</t>
        </is>
      </c>
      <c r="C103" s="6" t="inlineStr">
        <is>
          <t>DREAMZzz</t>
        </is>
      </c>
      <c r="D103" s="9">
        <f>IFERROR(MINIFS('Dane dzienne'!E:E,'Dane dzienne'!B:B,A103),"-")</f>
        <v/>
      </c>
      <c r="E103" s="9">
        <f>IFERROR(ROUND(AVERAGEIF('Dane dzienne'!B:B,A103,'Dane dzienne'!E:E),2),"-")</f>
        <v/>
      </c>
      <c r="F103" s="6">
        <f>IFERROR(ROUND(AVERAGEIF('Dane dzienne'!B:B,A103,'Dane dzienne'!F:F),0),"-")</f>
        <v/>
      </c>
      <c r="G103" s="6">
        <f>IFERROR(MAXIFS('Dane dzienne'!G:G,'Dane dzienne'!B:B,A103),"-")</f>
        <v/>
      </c>
    </row>
    <row r="104">
      <c r="A104" s="4" t="inlineStr">
        <is>
          <t>10412</t>
        </is>
      </c>
      <c r="B104" s="5" t="inlineStr">
        <is>
          <t>Animal Train</t>
        </is>
      </c>
      <c r="C104" s="4" t="inlineStr">
        <is>
          <t>Duplo</t>
        </is>
      </c>
      <c r="D104" s="8">
        <f>IFERROR(MINIFS('Dane dzienne'!E:E,'Dane dzienne'!B:B,A104),"-")</f>
        <v/>
      </c>
      <c r="E104" s="8">
        <f>IFERROR(ROUND(AVERAGEIF('Dane dzienne'!B:B,A104,'Dane dzienne'!E:E),2),"-")</f>
        <v/>
      </c>
      <c r="F104" s="4">
        <f>IFERROR(ROUND(AVERAGEIF('Dane dzienne'!B:B,A104,'Dane dzienne'!F:F),0),"-")</f>
        <v/>
      </c>
      <c r="G104" s="4">
        <f>IFERROR(MAXIFS('Dane dzienne'!G:G,'Dane dzienne'!B:B,A104),"-")</f>
        <v/>
      </c>
    </row>
    <row r="105">
      <c r="A105" s="6" t="inlineStr">
        <is>
          <t>10441</t>
        </is>
      </c>
      <c r="B105" s="7" t="inlineStr">
        <is>
          <t>Shape Sorter: Puppy House</t>
        </is>
      </c>
      <c r="C105" s="6" t="inlineStr">
        <is>
          <t>Duplo</t>
        </is>
      </c>
      <c r="D105" s="9">
        <f>IFERROR(MINIFS('Dane dzienne'!E:E,'Dane dzienne'!B:B,A105),"-")</f>
        <v/>
      </c>
      <c r="E105" s="9">
        <f>IFERROR(ROUND(AVERAGEIF('Dane dzienne'!B:B,A105,'Dane dzienne'!E:E),2),"-")</f>
        <v/>
      </c>
      <c r="F105" s="6">
        <f>IFERROR(ROUND(AVERAGEIF('Dane dzienne'!B:B,A105,'Dane dzienne'!F:F),0),"-")</f>
        <v/>
      </c>
      <c r="G105" s="6">
        <f>IFERROR(MAXIFS('Dane dzienne'!G:G,'Dane dzienne'!B:B,A105),"-")</f>
        <v/>
      </c>
    </row>
    <row r="106">
      <c r="A106" s="4" t="inlineStr">
        <is>
          <t>10442</t>
        </is>
      </c>
      <c r="B106" s="5" t="inlineStr">
        <is>
          <t>Wild Animal Families: Penguins &amp; Lions</t>
        </is>
      </c>
      <c r="C106" s="4" t="inlineStr">
        <is>
          <t>Duplo</t>
        </is>
      </c>
      <c r="D106" s="8">
        <f>IFERROR(MINIFS('Dane dzienne'!E:E,'Dane dzienne'!B:B,A106),"-")</f>
        <v/>
      </c>
      <c r="E106" s="8">
        <f>IFERROR(ROUND(AVERAGEIF('Dane dzienne'!B:B,A106,'Dane dzienne'!E:E),2),"-")</f>
        <v/>
      </c>
      <c r="F106" s="4">
        <f>IFERROR(ROUND(AVERAGEIF('Dane dzienne'!B:B,A106,'Dane dzienne'!F:F),0),"-")</f>
        <v/>
      </c>
      <c r="G106" s="4">
        <f>IFERROR(MAXIFS('Dane dzienne'!G:G,'Dane dzienne'!B:B,A106),"-")</f>
        <v/>
      </c>
    </row>
    <row r="107">
      <c r="A107" s="6" t="inlineStr">
        <is>
          <t>10443</t>
        </is>
      </c>
      <c r="B107" s="7" t="inlineStr">
        <is>
          <t>First Time at the Airport</t>
        </is>
      </c>
      <c r="C107" s="6" t="inlineStr">
        <is>
          <t>Duplo</t>
        </is>
      </c>
      <c r="D107" s="9">
        <f>IFERROR(MINIFS('Dane dzienne'!E:E,'Dane dzienne'!B:B,A107),"-")</f>
        <v/>
      </c>
      <c r="E107" s="9">
        <f>IFERROR(ROUND(AVERAGEIF('Dane dzienne'!B:B,A107,'Dane dzienne'!E:E),2),"-")</f>
        <v/>
      </c>
      <c r="F107" s="6">
        <f>IFERROR(ROUND(AVERAGEIF('Dane dzienne'!B:B,A107,'Dane dzienne'!F:F),0),"-")</f>
        <v/>
      </c>
      <c r="G107" s="6">
        <f>IFERROR(MAXIFS('Dane dzienne'!G:G,'Dane dzienne'!B:B,A107),"-")</f>
        <v/>
      </c>
    </row>
    <row r="108">
      <c r="A108" s="4" t="inlineStr">
        <is>
          <t>10444</t>
        </is>
      </c>
      <c r="B108" s="5" t="inlineStr">
        <is>
          <t>Creative Garden &amp; Flowers</t>
        </is>
      </c>
      <c r="C108" s="4" t="inlineStr">
        <is>
          <t>Duplo</t>
        </is>
      </c>
      <c r="D108" s="8">
        <f>IFERROR(MINIFS('Dane dzienne'!E:E,'Dane dzienne'!B:B,A108),"-")</f>
        <v/>
      </c>
      <c r="E108" s="8">
        <f>IFERROR(ROUND(AVERAGEIF('Dane dzienne'!B:B,A108,'Dane dzienne'!E:E),2),"-")</f>
        <v/>
      </c>
      <c r="F108" s="4">
        <f>IFERROR(ROUND(AVERAGEIF('Dane dzienne'!B:B,A108,'Dane dzienne'!F:F),0),"-")</f>
        <v/>
      </c>
      <c r="G108" s="4">
        <f>IFERROR(MAXIFS('Dane dzienne'!G:G,'Dane dzienne'!B:B,A108),"-")</f>
        <v/>
      </c>
    </row>
    <row r="109">
      <c r="A109" s="6" t="inlineStr">
        <is>
          <t>10445</t>
        </is>
      </c>
      <c r="B109" s="7" t="inlineStr">
        <is>
          <t>F1 Team Race Cars &amp; Drivers</t>
        </is>
      </c>
      <c r="C109" s="6" t="inlineStr">
        <is>
          <t>Duplo</t>
        </is>
      </c>
      <c r="D109" s="9">
        <f>IFERROR(MINIFS('Dane dzienne'!E:E,'Dane dzienne'!B:B,A109),"-")</f>
        <v/>
      </c>
      <c r="E109" s="9">
        <f>IFERROR(ROUND(AVERAGEIF('Dane dzienne'!B:B,A109,'Dane dzienne'!E:E),2),"-")</f>
        <v/>
      </c>
      <c r="F109" s="6">
        <f>IFERROR(ROUND(AVERAGEIF('Dane dzienne'!B:B,A109,'Dane dzienne'!F:F),0),"-")</f>
        <v/>
      </c>
      <c r="G109" s="6">
        <f>IFERROR(MAXIFS('Dane dzienne'!G:G,'Dane dzienne'!B:B,A109),"-")</f>
        <v/>
      </c>
    </row>
    <row r="110">
      <c r="A110" s="4" t="inlineStr">
        <is>
          <t>10446</t>
        </is>
      </c>
      <c r="B110" s="5" t="inlineStr">
        <is>
          <t>3in1 Wild Animal Families</t>
        </is>
      </c>
      <c r="C110" s="4" t="inlineStr">
        <is>
          <t>Duplo</t>
        </is>
      </c>
      <c r="D110" s="8">
        <f>IFERROR(MINIFS('Dane dzienne'!E:E,'Dane dzienne'!B:B,A110),"-")</f>
        <v/>
      </c>
      <c r="E110" s="8">
        <f>IFERROR(ROUND(AVERAGEIF('Dane dzienne'!B:B,A110,'Dane dzienne'!E:E),2),"-")</f>
        <v/>
      </c>
      <c r="F110" s="4">
        <f>IFERROR(ROUND(AVERAGEIF('Dane dzienne'!B:B,A110,'Dane dzienne'!F:F),0),"-")</f>
        <v/>
      </c>
      <c r="G110" s="4">
        <f>IFERROR(MAXIFS('Dane dzienne'!G:G,'Dane dzienne'!B:B,A110),"-")</f>
        <v/>
      </c>
    </row>
    <row r="111">
      <c r="A111" s="6" t="inlineStr">
        <is>
          <t>10448</t>
        </is>
      </c>
      <c r="B111" s="7" t="inlineStr">
        <is>
          <t>3in1 Animals on Wheels</t>
        </is>
      </c>
      <c r="C111" s="6" t="inlineStr">
        <is>
          <t>Duplo</t>
        </is>
      </c>
      <c r="D111" s="9">
        <f>IFERROR(MINIFS('Dane dzienne'!E:E,'Dane dzienne'!B:B,A111),"-")</f>
        <v/>
      </c>
      <c r="E111" s="9">
        <f>IFERROR(ROUND(AVERAGEIF('Dane dzienne'!B:B,A111,'Dane dzienne'!E:E),2),"-")</f>
        <v/>
      </c>
      <c r="F111" s="6">
        <f>IFERROR(ROUND(AVERAGEIF('Dane dzienne'!B:B,A111,'Dane dzienne'!F:F),0),"-")</f>
        <v/>
      </c>
      <c r="G111" s="6">
        <f>IFERROR(MAXIFS('Dane dzienne'!G:G,'Dane dzienne'!B:B,A111),"-")</f>
        <v/>
      </c>
    </row>
    <row r="112">
      <c r="A112" s="4" t="inlineStr">
        <is>
          <t>10450</t>
        </is>
      </c>
      <c r="B112" s="5" t="inlineStr">
        <is>
          <t>Hopsy's Castle Game</t>
        </is>
      </c>
      <c r="C112" s="4" t="inlineStr">
        <is>
          <t>Duplo</t>
        </is>
      </c>
      <c r="D112" s="8">
        <f>IFERROR(MINIFS('Dane dzienne'!E:E,'Dane dzienne'!B:B,A112),"-")</f>
        <v/>
      </c>
      <c r="E112" s="8">
        <f>IFERROR(ROUND(AVERAGEIF('Dane dzienne'!B:B,A112,'Dane dzienne'!E:E),2),"-")</f>
        <v/>
      </c>
      <c r="F112" s="4">
        <f>IFERROR(ROUND(AVERAGEIF('Dane dzienne'!B:B,A112,'Dane dzienne'!F:F),0),"-")</f>
        <v/>
      </c>
      <c r="G112" s="4">
        <f>IFERROR(MAXIFS('Dane dzienne'!G:G,'Dane dzienne'!B:B,A112),"-")</f>
        <v/>
      </c>
    </row>
    <row r="113">
      <c r="A113" s="6" t="inlineStr">
        <is>
          <t>10451</t>
        </is>
      </c>
      <c r="B113" s="7" t="inlineStr">
        <is>
          <t>3in1 Dinosaurs on Wheels</t>
        </is>
      </c>
      <c r="C113" s="6" t="inlineStr">
        <is>
          <t>Duplo</t>
        </is>
      </c>
      <c r="D113" s="9">
        <f>IFERROR(MINIFS('Dane dzienne'!E:E,'Dane dzienne'!B:B,A113),"-")</f>
        <v/>
      </c>
      <c r="E113" s="9">
        <f>IFERROR(ROUND(AVERAGEIF('Dane dzienne'!B:B,A113,'Dane dzienne'!E:E),2),"-")</f>
        <v/>
      </c>
      <c r="F113" s="6">
        <f>IFERROR(ROUND(AVERAGEIF('Dane dzienne'!B:B,A113,'Dane dzienne'!F:F),0),"-")</f>
        <v/>
      </c>
      <c r="G113" s="6">
        <f>IFERROR(MAXIFS('Dane dzienne'!G:G,'Dane dzienne'!B:B,A113),"-")</f>
        <v/>
      </c>
    </row>
    <row r="114">
      <c r="A114" s="4" t="inlineStr">
        <is>
          <t>10452</t>
        </is>
      </c>
      <c r="B114" s="5" t="inlineStr">
        <is>
          <t>Camping Trip</t>
        </is>
      </c>
      <c r="C114" s="4" t="inlineStr">
        <is>
          <t>Duplo</t>
        </is>
      </c>
      <c r="D114" s="8">
        <f>IFERROR(MINIFS('Dane dzienne'!E:E,'Dane dzienne'!B:B,A114),"-")</f>
        <v/>
      </c>
      <c r="E114" s="8">
        <f>IFERROR(ROUND(AVERAGEIF('Dane dzienne'!B:B,A114,'Dane dzienne'!E:E),2),"-")</f>
        <v/>
      </c>
      <c r="F114" s="4">
        <f>IFERROR(ROUND(AVERAGEIF('Dane dzienne'!B:B,A114,'Dane dzienne'!F:F),0),"-")</f>
        <v/>
      </c>
      <c r="G114" s="4">
        <f>IFERROR(MAXIFS('Dane dzienne'!G:G,'Dane dzienne'!B:B,A114),"-")</f>
        <v/>
      </c>
    </row>
    <row r="115">
      <c r="A115" s="6" t="inlineStr">
        <is>
          <t>10453</t>
        </is>
      </c>
      <c r="B115" s="7" t="inlineStr">
        <is>
          <t>Funfair</t>
        </is>
      </c>
      <c r="C115" s="6" t="inlineStr">
        <is>
          <t>Duplo</t>
        </is>
      </c>
      <c r="D115" s="9">
        <f>IFERROR(MINIFS('Dane dzienne'!E:E,'Dane dzienne'!B:B,A115),"-")</f>
        <v/>
      </c>
      <c r="E115" s="9">
        <f>IFERROR(ROUND(AVERAGEIF('Dane dzienne'!B:B,A115,'Dane dzienne'!E:E),2),"-")</f>
        <v/>
      </c>
      <c r="F115" s="6">
        <f>IFERROR(ROUND(AVERAGEIF('Dane dzienne'!B:B,A115,'Dane dzienne'!F:F),0),"-")</f>
        <v/>
      </c>
      <c r="G115" s="6">
        <f>IFERROR(MAXIFS('Dane dzienne'!G:G,'Dane dzienne'!B:B,A115),"-")</f>
        <v/>
      </c>
    </row>
    <row r="116">
      <c r="A116" s="4" t="inlineStr">
        <is>
          <t>10455</t>
        </is>
      </c>
      <c r="B116" s="5" t="inlineStr">
        <is>
          <t>Anna and Elsa's Frozen Castle Party</t>
        </is>
      </c>
      <c r="C116" s="4" t="inlineStr">
        <is>
          <t>Duplo</t>
        </is>
      </c>
      <c r="D116" s="8">
        <f>IFERROR(MINIFS('Dane dzienne'!E:E,'Dane dzienne'!B:B,A116),"-")</f>
        <v/>
      </c>
      <c r="E116" s="8">
        <f>IFERROR(ROUND(AVERAGEIF('Dane dzienne'!B:B,A116,'Dane dzienne'!E:E),2),"-")</f>
        <v/>
      </c>
      <c r="F116" s="4">
        <f>IFERROR(ROUND(AVERAGEIF('Dane dzienne'!B:B,A116,'Dane dzienne'!F:F),0),"-")</f>
        <v/>
      </c>
      <c r="G116" s="4">
        <f>IFERROR(MAXIFS('Dane dzienne'!G:G,'Dane dzienne'!B:B,A116),"-")</f>
        <v/>
      </c>
    </row>
    <row r="117">
      <c r="A117" s="6" t="inlineStr">
        <is>
          <t>10456</t>
        </is>
      </c>
      <c r="B117" s="7" t="inlineStr">
        <is>
          <t>McQueen's Visit to Doc's Garage</t>
        </is>
      </c>
      <c r="C117" s="6" t="inlineStr">
        <is>
          <t>Duplo</t>
        </is>
      </c>
      <c r="D117" s="9">
        <f>IFERROR(MINIFS('Dane dzienne'!E:E,'Dane dzienne'!B:B,A117),"-")</f>
        <v/>
      </c>
      <c r="E117" s="9">
        <f>IFERROR(ROUND(AVERAGEIF('Dane dzienne'!B:B,A117,'Dane dzienne'!E:E),2),"-")</f>
        <v/>
      </c>
      <c r="F117" s="6">
        <f>IFERROR(ROUND(AVERAGEIF('Dane dzienne'!B:B,A117,'Dane dzienne'!F:F),0),"-")</f>
        <v/>
      </c>
      <c r="G117" s="6">
        <f>IFERROR(MAXIFS('Dane dzienne'!G:G,'Dane dzienne'!B:B,A117),"-")</f>
        <v/>
      </c>
    </row>
    <row r="118">
      <c r="A118" s="4" t="inlineStr">
        <is>
          <t>10458</t>
        </is>
      </c>
      <c r="B118" s="5" t="inlineStr">
        <is>
          <t>Ice Cream Trip with Bluey</t>
        </is>
      </c>
      <c r="C118" s="4" t="inlineStr">
        <is>
          <t>Duplo</t>
        </is>
      </c>
      <c r="D118" s="8">
        <f>IFERROR(MINIFS('Dane dzienne'!E:E,'Dane dzienne'!B:B,A118),"-")</f>
        <v/>
      </c>
      <c r="E118" s="8">
        <f>IFERROR(ROUND(AVERAGEIF('Dane dzienne'!B:B,A118,'Dane dzienne'!E:E),2),"-")</f>
        <v/>
      </c>
      <c r="F118" s="4">
        <f>IFERROR(ROUND(AVERAGEIF('Dane dzienne'!B:B,A118,'Dane dzienne'!F:F),0),"-")</f>
        <v/>
      </c>
      <c r="G118" s="4">
        <f>IFERROR(MAXIFS('Dane dzienne'!G:G,'Dane dzienne'!B:B,A118),"-")</f>
        <v/>
      </c>
    </row>
    <row r="119">
      <c r="A119" s="6" t="inlineStr">
        <is>
          <t>10459</t>
        </is>
      </c>
      <c r="B119" s="7" t="inlineStr">
        <is>
          <t>Bluey's Family House with Memory Game</t>
        </is>
      </c>
      <c r="C119" s="6" t="inlineStr">
        <is>
          <t>Duplo</t>
        </is>
      </c>
      <c r="D119" s="9">
        <f>IFERROR(MINIFS('Dane dzienne'!E:E,'Dane dzienne'!B:B,A119),"-")</f>
        <v/>
      </c>
      <c r="E119" s="9">
        <f>IFERROR(ROUND(AVERAGEIF('Dane dzienne'!B:B,A119,'Dane dzienne'!E:E),2),"-")</f>
        <v/>
      </c>
      <c r="F119" s="6">
        <f>IFERROR(ROUND(AVERAGEIF('Dane dzienne'!B:B,A119,'Dane dzienne'!F:F),0),"-")</f>
        <v/>
      </c>
      <c r="G119" s="6">
        <f>IFERROR(MAXIFS('Dane dzienne'!G:G,'Dane dzienne'!B:B,A119),"-")</f>
        <v/>
      </c>
    </row>
    <row r="120">
      <c r="A120" s="4" t="inlineStr">
        <is>
          <t>10461</t>
        </is>
      </c>
      <c r="B120" s="5" t="inlineStr">
        <is>
          <t>Grandpa Pig's Garden and Greenhouse</t>
        </is>
      </c>
      <c r="C120" s="4" t="inlineStr">
        <is>
          <t>Duplo</t>
        </is>
      </c>
      <c r="D120" s="8">
        <f>IFERROR(MINIFS('Dane dzienne'!E:E,'Dane dzienne'!B:B,A120),"-")</f>
        <v/>
      </c>
      <c r="E120" s="8">
        <f>IFERROR(ROUND(AVERAGEIF('Dane dzienne'!B:B,A120,'Dane dzienne'!E:E),2),"-")</f>
        <v/>
      </c>
      <c r="F120" s="4">
        <f>IFERROR(ROUND(AVERAGEIF('Dane dzienne'!B:B,A120,'Dane dzienne'!F:F),0),"-")</f>
        <v/>
      </c>
      <c r="G120" s="4">
        <f>IFERROR(MAXIFS('Dane dzienne'!G:G,'Dane dzienne'!B:B,A120),"-")</f>
        <v/>
      </c>
    </row>
    <row r="121">
      <c r="A121" s="6" t="inlineStr">
        <is>
          <t>43033</t>
        </is>
      </c>
      <c r="B121" s="7" t="inlineStr">
        <is>
          <t>2026 U.S. Soccer National Team Jersey</t>
        </is>
      </c>
      <c r="C121" s="6" t="inlineStr">
        <is>
          <t>Editions</t>
        </is>
      </c>
      <c r="D121" s="9">
        <f>IFERROR(MINIFS('Dane dzienne'!E:E,'Dane dzienne'!B:B,A121),"-")</f>
        <v/>
      </c>
      <c r="E121" s="9">
        <f>IFERROR(ROUND(AVERAGEIF('Dane dzienne'!B:B,A121,'Dane dzienne'!E:E),2),"-")</f>
        <v/>
      </c>
      <c r="F121" s="6">
        <f>IFERROR(ROUND(AVERAGEIF('Dane dzienne'!B:B,A121,'Dane dzienne'!F:F),0),"-")</f>
        <v/>
      </c>
      <c r="G121" s="6">
        <f>IFERROR(MAXIFS('Dane dzienne'!G:G,'Dane dzienne'!B:B,A121),"-")</f>
        <v/>
      </c>
    </row>
    <row r="122">
      <c r="A122" s="4" t="inlineStr">
        <is>
          <t>66818</t>
        </is>
      </c>
      <c r="B122" s="5" t="inlineStr">
        <is>
          <t>Lionel Messi – Collector's Set</t>
        </is>
      </c>
      <c r="C122" s="4" t="inlineStr">
        <is>
          <t>Editions</t>
        </is>
      </c>
      <c r="D122" s="8">
        <f>IFERROR(MINIFS('Dane dzienne'!E:E,'Dane dzienne'!B:B,A122),"-")</f>
        <v/>
      </c>
      <c r="E122" s="8">
        <f>IFERROR(ROUND(AVERAGEIF('Dane dzienne'!B:B,A122,'Dane dzienne'!E:E),2),"-")</f>
        <v/>
      </c>
      <c r="F122" s="4">
        <f>IFERROR(ROUND(AVERAGEIF('Dane dzienne'!B:B,A122,'Dane dzienne'!F:F),0),"-")</f>
        <v/>
      </c>
      <c r="G122" s="4">
        <f>IFERROR(MAXIFS('Dane dzienne'!G:G,'Dane dzienne'!B:B,A122),"-")</f>
        <v/>
      </c>
    </row>
    <row r="123">
      <c r="A123" s="6" t="inlineStr">
        <is>
          <t>41843</t>
        </is>
      </c>
      <c r="B123" s="7" t="inlineStr">
        <is>
          <t>Family Christmas Tree</t>
        </is>
      </c>
      <c r="C123" s="6" t="inlineStr">
        <is>
          <t>Family</t>
        </is>
      </c>
      <c r="D123" s="9">
        <f>IFERROR(MINIFS('Dane dzienne'!E:E,'Dane dzienne'!B:B,A123),"-")</f>
        <v/>
      </c>
      <c r="E123" s="9">
        <f>IFERROR(ROUND(AVERAGEIF('Dane dzienne'!B:B,A123,'Dane dzienne'!E:E),2),"-")</f>
        <v/>
      </c>
      <c r="F123" s="6">
        <f>IFERROR(ROUND(AVERAGEIF('Dane dzienne'!B:B,A123,'Dane dzienne'!F:F),0),"-")</f>
        <v/>
      </c>
      <c r="G123" s="6">
        <f>IFERROR(MAXIFS('Dane dzienne'!G:G,'Dane dzienne'!B:B,A123),"-")</f>
        <v/>
      </c>
    </row>
    <row r="124">
      <c r="A124" s="4" t="inlineStr">
        <is>
          <t>77075</t>
        </is>
      </c>
      <c r="B124" s="5" t="inlineStr">
        <is>
          <t>Peely &amp; Sparkplug's Camp</t>
        </is>
      </c>
      <c r="C124" s="4" t="inlineStr">
        <is>
          <t>Fortnite</t>
        </is>
      </c>
      <c r="D124" s="8">
        <f>IFERROR(MINIFS('Dane dzienne'!E:E,'Dane dzienne'!B:B,A124),"-")</f>
        <v/>
      </c>
      <c r="E124" s="8">
        <f>IFERROR(ROUND(AVERAGEIF('Dane dzienne'!B:B,A124,'Dane dzienne'!E:E),2),"-")</f>
        <v/>
      </c>
      <c r="F124" s="4">
        <f>IFERROR(ROUND(AVERAGEIF('Dane dzienne'!B:B,A124,'Dane dzienne'!F:F),0),"-")</f>
        <v/>
      </c>
      <c r="G124" s="4">
        <f>IFERROR(MAXIFS('Dane dzienne'!G:G,'Dane dzienne'!B:B,A124),"-")</f>
        <v/>
      </c>
    </row>
    <row r="125">
      <c r="A125" s="6" t="inlineStr">
        <is>
          <t>77076</t>
        </is>
      </c>
      <c r="B125" s="7" t="inlineStr">
        <is>
          <t>Durrr Burger Restaurant</t>
        </is>
      </c>
      <c r="C125" s="6" t="inlineStr">
        <is>
          <t>Fortnite</t>
        </is>
      </c>
      <c r="D125" s="9">
        <f>IFERROR(MINIFS('Dane dzienne'!E:E,'Dane dzienne'!B:B,A125),"-")</f>
        <v/>
      </c>
      <c r="E125" s="9">
        <f>IFERROR(ROUND(AVERAGEIF('Dane dzienne'!B:B,A125,'Dane dzienne'!E:E),2),"-")</f>
        <v/>
      </c>
      <c r="F125" s="6">
        <f>IFERROR(ROUND(AVERAGEIF('Dane dzienne'!B:B,A125,'Dane dzienne'!F:F),0),"-")</f>
        <v/>
      </c>
      <c r="G125" s="6">
        <f>IFERROR(MAXIFS('Dane dzienne'!G:G,'Dane dzienne'!B:B,A125),"-")</f>
        <v/>
      </c>
    </row>
    <row r="126">
      <c r="A126" s="4" t="inlineStr">
        <is>
          <t>77077</t>
        </is>
      </c>
      <c r="B126" s="5" t="inlineStr">
        <is>
          <t>Klombo</t>
        </is>
      </c>
      <c r="C126" s="4" t="inlineStr">
        <is>
          <t>Fortnite</t>
        </is>
      </c>
      <c r="D126" s="8">
        <f>IFERROR(MINIFS('Dane dzienne'!E:E,'Dane dzienne'!B:B,A126),"-")</f>
        <v/>
      </c>
      <c r="E126" s="8">
        <f>IFERROR(ROUND(AVERAGEIF('Dane dzienne'!B:B,A126,'Dane dzienne'!E:E),2),"-")</f>
        <v/>
      </c>
      <c r="F126" s="4">
        <f>IFERROR(ROUND(AVERAGEIF('Dane dzienne'!B:B,A126,'Dane dzienne'!F:F),0),"-")</f>
        <v/>
      </c>
      <c r="G126" s="4">
        <f>IFERROR(MAXIFS('Dane dzienne'!G:G,'Dane dzienne'!B:B,A126),"-")</f>
        <v/>
      </c>
    </row>
    <row r="127">
      <c r="A127" s="6" t="inlineStr">
        <is>
          <t>77078</t>
        </is>
      </c>
      <c r="B127" s="7" t="inlineStr">
        <is>
          <t>Mecha Team Leader</t>
        </is>
      </c>
      <c r="C127" s="6" t="inlineStr">
        <is>
          <t>Fortnite</t>
        </is>
      </c>
      <c r="D127" s="9">
        <f>IFERROR(MINIFS('Dane dzienne'!E:E,'Dane dzienne'!B:B,A127),"-")</f>
        <v/>
      </c>
      <c r="E127" s="9">
        <f>IFERROR(ROUND(AVERAGEIF('Dane dzienne'!B:B,A127,'Dane dzienne'!E:E),2),"-")</f>
        <v/>
      </c>
      <c r="F127" s="6">
        <f>IFERROR(ROUND(AVERAGEIF('Dane dzienne'!B:B,A127,'Dane dzienne'!F:F),0),"-")</f>
        <v/>
      </c>
      <c r="G127" s="6">
        <f>IFERROR(MAXIFS('Dane dzienne'!G:G,'Dane dzienne'!B:B,A127),"-")</f>
        <v/>
      </c>
    </row>
    <row r="128">
      <c r="A128" s="4" t="inlineStr">
        <is>
          <t>30721</t>
        </is>
      </c>
      <c r="B128" s="5" t="inlineStr">
        <is>
          <t>Flower Stand with Roses (Polybag)</t>
        </is>
      </c>
      <c r="C128" s="4" t="inlineStr">
        <is>
          <t>Friends</t>
        </is>
      </c>
      <c r="D128" s="8">
        <f>IFERROR(MINIFS('Dane dzienne'!E:E,'Dane dzienne'!B:B,A128),"-")</f>
        <v/>
      </c>
      <c r="E128" s="8">
        <f>IFERROR(ROUND(AVERAGEIF('Dane dzienne'!B:B,A128,'Dane dzienne'!E:E),2),"-")</f>
        <v/>
      </c>
      <c r="F128" s="4">
        <f>IFERROR(ROUND(AVERAGEIF('Dane dzienne'!B:B,A128,'Dane dzienne'!F:F),0),"-")</f>
        <v/>
      </c>
      <c r="G128" s="4">
        <f>IFERROR(MAXIFS('Dane dzienne'!G:G,'Dane dzienne'!B:B,A128),"-")</f>
        <v/>
      </c>
    </row>
    <row r="129">
      <c r="A129" s="6" t="inlineStr">
        <is>
          <t>30722</t>
        </is>
      </c>
      <c r="B129" s="7" t="inlineStr">
        <is>
          <t>Garden Bunny House (Polybag)</t>
        </is>
      </c>
      <c r="C129" s="6" t="inlineStr">
        <is>
          <t>Friends</t>
        </is>
      </c>
      <c r="D129" s="9">
        <f>IFERROR(MINIFS('Dane dzienne'!E:E,'Dane dzienne'!B:B,A129),"-")</f>
        <v/>
      </c>
      <c r="E129" s="9">
        <f>IFERROR(ROUND(AVERAGEIF('Dane dzienne'!B:B,A129,'Dane dzienne'!E:E),2),"-")</f>
        <v/>
      </c>
      <c r="F129" s="6">
        <f>IFERROR(ROUND(AVERAGEIF('Dane dzienne'!B:B,A129,'Dane dzienne'!F:F),0),"-")</f>
        <v/>
      </c>
      <c r="G129" s="6">
        <f>IFERROR(MAXIFS('Dane dzienne'!G:G,'Dane dzienne'!B:B,A129),"-")</f>
        <v/>
      </c>
    </row>
    <row r="130">
      <c r="A130" s="4" t="inlineStr">
        <is>
          <t>42644</t>
        </is>
      </c>
      <c r="B130" s="5" t="inlineStr">
        <is>
          <t>Heartlake City Ice Cream Shop</t>
        </is>
      </c>
      <c r="C130" s="4" t="inlineStr">
        <is>
          <t>Friends</t>
        </is>
      </c>
      <c r="D130" s="8">
        <f>IFERROR(MINIFS('Dane dzienne'!E:E,'Dane dzienne'!B:B,A130),"-")</f>
        <v/>
      </c>
      <c r="E130" s="8">
        <f>IFERROR(ROUND(AVERAGEIF('Dane dzienne'!B:B,A130,'Dane dzienne'!E:E),2),"-")</f>
        <v/>
      </c>
      <c r="F130" s="4">
        <f>IFERROR(ROUND(AVERAGEIF('Dane dzienne'!B:B,A130,'Dane dzienne'!F:F),0),"-")</f>
        <v/>
      </c>
      <c r="G130" s="4">
        <f>IFERROR(MAXIFS('Dane dzienne'!G:G,'Dane dzienne'!B:B,A130),"-")</f>
        <v/>
      </c>
    </row>
    <row r="131">
      <c r="A131" s="6" t="inlineStr">
        <is>
          <t>42648</t>
        </is>
      </c>
      <c r="B131" s="7" t="inlineStr">
        <is>
          <t>Panda Sanctuary</t>
        </is>
      </c>
      <c r="C131" s="6" t="inlineStr">
        <is>
          <t>Friends</t>
        </is>
      </c>
      <c r="D131" s="9">
        <f>IFERROR(MINIFS('Dane dzienne'!E:E,'Dane dzienne'!B:B,A131),"-")</f>
        <v/>
      </c>
      <c r="E131" s="9">
        <f>IFERROR(ROUND(AVERAGEIF('Dane dzienne'!B:B,A131,'Dane dzienne'!E:E),2),"-")</f>
        <v/>
      </c>
      <c r="F131" s="6">
        <f>IFERROR(ROUND(AVERAGEIF('Dane dzienne'!B:B,A131,'Dane dzienne'!F:F),0),"-")</f>
        <v/>
      </c>
      <c r="G131" s="6">
        <f>IFERROR(MAXIFS('Dane dzienne'!G:G,'Dane dzienne'!B:B,A131),"-")</f>
        <v/>
      </c>
    </row>
    <row r="132">
      <c r="A132" s="4" t="inlineStr">
        <is>
          <t>42649</t>
        </is>
      </c>
      <c r="B132" s="5" t="inlineStr">
        <is>
          <t>Heartlake City Sweet Shop</t>
        </is>
      </c>
      <c r="C132" s="4" t="inlineStr">
        <is>
          <t>Friends</t>
        </is>
      </c>
      <c r="D132" s="8">
        <f>IFERROR(MINIFS('Dane dzienne'!E:E,'Dane dzienne'!B:B,A132),"-")</f>
        <v/>
      </c>
      <c r="E132" s="8">
        <f>IFERROR(ROUND(AVERAGEIF('Dane dzienne'!B:B,A132,'Dane dzienne'!E:E),2),"-")</f>
        <v/>
      </c>
      <c r="F132" s="4">
        <f>IFERROR(ROUND(AVERAGEIF('Dane dzienne'!B:B,A132,'Dane dzienne'!F:F),0),"-")</f>
        <v/>
      </c>
      <c r="G132" s="4">
        <f>IFERROR(MAXIFS('Dane dzienne'!G:G,'Dane dzienne'!B:B,A132),"-")</f>
        <v/>
      </c>
    </row>
    <row r="133">
      <c r="A133" s="6" t="inlineStr">
        <is>
          <t>42650</t>
        </is>
      </c>
      <c r="B133" s="7" t="inlineStr">
        <is>
          <t>Pet Accessories Shop</t>
        </is>
      </c>
      <c r="C133" s="6" t="inlineStr">
        <is>
          <t>Friends</t>
        </is>
      </c>
      <c r="D133" s="9">
        <f>IFERROR(MINIFS('Dane dzienne'!E:E,'Dane dzienne'!B:B,A133),"-")</f>
        <v/>
      </c>
      <c r="E133" s="9">
        <f>IFERROR(ROUND(AVERAGEIF('Dane dzienne'!B:B,A133,'Dane dzienne'!E:E),2),"-")</f>
        <v/>
      </c>
      <c r="F133" s="6">
        <f>IFERROR(ROUND(AVERAGEIF('Dane dzienne'!B:B,A133,'Dane dzienne'!F:F),0),"-")</f>
        <v/>
      </c>
      <c r="G133" s="6">
        <f>IFERROR(MAXIFS('Dane dzienne'!G:G,'Dane dzienne'!B:B,A133),"-")</f>
        <v/>
      </c>
    </row>
    <row r="134">
      <c r="A134" s="4" t="inlineStr">
        <is>
          <t>42659</t>
        </is>
      </c>
      <c r="B134" s="5" t="inlineStr">
        <is>
          <t>Friendship Road-Trip Travel Car</t>
        </is>
      </c>
      <c r="C134" s="4" t="inlineStr">
        <is>
          <t>Friends</t>
        </is>
      </c>
      <c r="D134" s="8">
        <f>IFERROR(MINIFS('Dane dzienne'!E:E,'Dane dzienne'!B:B,A134),"-")</f>
        <v/>
      </c>
      <c r="E134" s="8">
        <f>IFERROR(ROUND(AVERAGEIF('Dane dzienne'!B:B,A134,'Dane dzienne'!E:E),2),"-")</f>
        <v/>
      </c>
      <c r="F134" s="4">
        <f>IFERROR(ROUND(AVERAGEIF('Dane dzienne'!B:B,A134,'Dane dzienne'!F:F),0),"-")</f>
        <v/>
      </c>
      <c r="G134" s="4">
        <f>IFERROR(MAXIFS('Dane dzienne'!G:G,'Dane dzienne'!B:B,A134),"-")</f>
        <v/>
      </c>
    </row>
    <row r="135">
      <c r="A135" s="6" t="inlineStr">
        <is>
          <t>42661</t>
        </is>
      </c>
      <c r="B135" s="7" t="inlineStr">
        <is>
          <t>Costume Party</t>
        </is>
      </c>
      <c r="C135" s="6" t="inlineStr">
        <is>
          <t>Friends</t>
        </is>
      </c>
      <c r="D135" s="9">
        <f>IFERROR(MINIFS('Dane dzienne'!E:E,'Dane dzienne'!B:B,A135),"-")</f>
        <v/>
      </c>
      <c r="E135" s="9">
        <f>IFERROR(ROUND(AVERAGEIF('Dane dzienne'!B:B,A135,'Dane dzienne'!E:E),2),"-")</f>
        <v/>
      </c>
      <c r="F135" s="6">
        <f>IFERROR(ROUND(AVERAGEIF('Dane dzienne'!B:B,A135,'Dane dzienne'!F:F),0),"-")</f>
        <v/>
      </c>
      <c r="G135" s="6">
        <f>IFERROR(MAXIFS('Dane dzienne'!G:G,'Dane dzienne'!B:B,A135),"-")</f>
        <v/>
      </c>
    </row>
    <row r="136">
      <c r="A136" s="4" t="inlineStr">
        <is>
          <t>42663</t>
        </is>
      </c>
      <c r="B136" s="5" t="inlineStr">
        <is>
          <t>Friendship Camper Van Adventure</t>
        </is>
      </c>
      <c r="C136" s="4" t="inlineStr">
        <is>
          <t>Friends</t>
        </is>
      </c>
      <c r="D136" s="8">
        <f>IFERROR(MINIFS('Dane dzienne'!E:E,'Dane dzienne'!B:B,A136),"-")</f>
        <v/>
      </c>
      <c r="E136" s="8">
        <f>IFERROR(ROUND(AVERAGEIF('Dane dzienne'!B:B,A136,'Dane dzienne'!E:E),2),"-")</f>
        <v/>
      </c>
      <c r="F136" s="4">
        <f>IFERROR(ROUND(AVERAGEIF('Dane dzienne'!B:B,A136,'Dane dzienne'!F:F),0),"-")</f>
        <v/>
      </c>
      <c r="G136" s="4">
        <f>IFERROR(MAXIFS('Dane dzienne'!G:G,'Dane dzienne'!B:B,A136),"-")</f>
        <v/>
      </c>
    </row>
    <row r="137">
      <c r="A137" s="6" t="inlineStr">
        <is>
          <t>42664</t>
        </is>
      </c>
      <c r="B137" s="7" t="inlineStr">
        <is>
          <t>Travel Boat Adventure</t>
        </is>
      </c>
      <c r="C137" s="6" t="inlineStr">
        <is>
          <t>Friends</t>
        </is>
      </c>
      <c r="D137" s="9">
        <f>IFERROR(MINIFS('Dane dzienne'!E:E,'Dane dzienne'!B:B,A137),"-")</f>
        <v/>
      </c>
      <c r="E137" s="9">
        <f>IFERROR(ROUND(AVERAGEIF('Dane dzienne'!B:B,A137,'Dane dzienne'!E:E),2),"-")</f>
        <v/>
      </c>
      <c r="F137" s="6">
        <f>IFERROR(ROUND(AVERAGEIF('Dane dzienne'!B:B,A137,'Dane dzienne'!F:F),0),"-")</f>
        <v/>
      </c>
      <c r="G137" s="6">
        <f>IFERROR(MAXIFS('Dane dzienne'!G:G,'Dane dzienne'!B:B,A137),"-")</f>
        <v/>
      </c>
    </row>
    <row r="138">
      <c r="A138" s="4" t="inlineStr">
        <is>
          <t>42665</t>
        </is>
      </c>
      <c r="B138" s="5" t="inlineStr">
        <is>
          <t>Puppy Playground</t>
        </is>
      </c>
      <c r="C138" s="4" t="inlineStr">
        <is>
          <t>Friends</t>
        </is>
      </c>
      <c r="D138" s="8">
        <f>IFERROR(MINIFS('Dane dzienne'!E:E,'Dane dzienne'!B:B,A138),"-")</f>
        <v/>
      </c>
      <c r="E138" s="8">
        <f>IFERROR(ROUND(AVERAGEIF('Dane dzienne'!B:B,A138,'Dane dzienne'!E:E),2),"-")</f>
        <v/>
      </c>
      <c r="F138" s="4">
        <f>IFERROR(ROUND(AVERAGEIF('Dane dzienne'!B:B,A138,'Dane dzienne'!F:F),0),"-")</f>
        <v/>
      </c>
      <c r="G138" s="4">
        <f>IFERROR(MAXIFS('Dane dzienne'!G:G,'Dane dzienne'!B:B,A138),"-")</f>
        <v/>
      </c>
    </row>
    <row r="139">
      <c r="A139" s="6" t="inlineStr">
        <is>
          <t>42666</t>
        </is>
      </c>
      <c r="B139" s="7" t="inlineStr">
        <is>
          <t>Cat Birthday Party</t>
        </is>
      </c>
      <c r="C139" s="6" t="inlineStr">
        <is>
          <t>Friends</t>
        </is>
      </c>
      <c r="D139" s="9">
        <f>IFERROR(MINIFS('Dane dzienne'!E:E,'Dane dzienne'!B:B,A139),"-")</f>
        <v/>
      </c>
      <c r="E139" s="9">
        <f>IFERROR(ROUND(AVERAGEIF('Dane dzienne'!B:B,A139,'Dane dzienne'!E:E),2),"-")</f>
        <v/>
      </c>
      <c r="F139" s="6">
        <f>IFERROR(ROUND(AVERAGEIF('Dane dzienne'!B:B,A139,'Dane dzienne'!F:F),0),"-")</f>
        <v/>
      </c>
      <c r="G139" s="6">
        <f>IFERROR(MAXIFS('Dane dzienne'!G:G,'Dane dzienne'!B:B,A139),"-")</f>
        <v/>
      </c>
    </row>
    <row r="140">
      <c r="A140" s="4" t="inlineStr">
        <is>
          <t>42671</t>
        </is>
      </c>
      <c r="B140" s="5" t="inlineStr">
        <is>
          <t>Plant Cafe &amp; Flower Shop</t>
        </is>
      </c>
      <c r="C140" s="4" t="inlineStr">
        <is>
          <t>Friends</t>
        </is>
      </c>
      <c r="D140" s="8">
        <f>IFERROR(MINIFS('Dane dzienne'!E:E,'Dane dzienne'!B:B,A140),"-")</f>
        <v/>
      </c>
      <c r="E140" s="8">
        <f>IFERROR(ROUND(AVERAGEIF('Dane dzienne'!B:B,A140,'Dane dzienne'!E:E),2),"-")</f>
        <v/>
      </c>
      <c r="F140" s="4">
        <f>IFERROR(ROUND(AVERAGEIF('Dane dzienne'!B:B,A140,'Dane dzienne'!F:F),0),"-")</f>
        <v/>
      </c>
      <c r="G140" s="4">
        <f>IFERROR(MAXIFS('Dane dzienne'!G:G,'Dane dzienne'!B:B,A140),"-")</f>
        <v/>
      </c>
    </row>
    <row r="141">
      <c r="A141" s="6" t="inlineStr">
        <is>
          <t>42673</t>
        </is>
      </c>
      <c r="B141" s="7" t="inlineStr">
        <is>
          <t>Family Holiday Beach Resort</t>
        </is>
      </c>
      <c r="C141" s="6" t="inlineStr">
        <is>
          <t>Friends</t>
        </is>
      </c>
      <c r="D141" s="9">
        <f>IFERROR(MINIFS('Dane dzienne'!E:E,'Dane dzienne'!B:B,A141),"-")</f>
        <v/>
      </c>
      <c r="E141" s="9">
        <f>IFERROR(ROUND(AVERAGEIF('Dane dzienne'!B:B,A141,'Dane dzienne'!E:E),2),"-")</f>
        <v/>
      </c>
      <c r="F141" s="6">
        <f>IFERROR(ROUND(AVERAGEIF('Dane dzienne'!B:B,A141,'Dane dzienne'!F:F),0),"-")</f>
        <v/>
      </c>
      <c r="G141" s="6">
        <f>IFERROR(MAXIFS('Dane dzienne'!G:G,'Dane dzienne'!B:B,A141),"-")</f>
        <v/>
      </c>
    </row>
    <row r="142">
      <c r="A142" s="4" t="inlineStr">
        <is>
          <t>42674</t>
        </is>
      </c>
      <c r="B142" s="5" t="inlineStr">
        <is>
          <t>Comic Book and Game Shop</t>
        </is>
      </c>
      <c r="C142" s="4" t="inlineStr">
        <is>
          <t>Friends</t>
        </is>
      </c>
      <c r="D142" s="8">
        <f>IFERROR(MINIFS('Dane dzienne'!E:E,'Dane dzienne'!B:B,A142),"-")</f>
        <v/>
      </c>
      <c r="E142" s="8">
        <f>IFERROR(ROUND(AVERAGEIF('Dane dzienne'!B:B,A142,'Dane dzienne'!E:E),2),"-")</f>
        <v/>
      </c>
      <c r="F142" s="4">
        <f>IFERROR(ROUND(AVERAGEIF('Dane dzienne'!B:B,A142,'Dane dzienne'!F:F),0),"-")</f>
        <v/>
      </c>
      <c r="G142" s="4">
        <f>IFERROR(MAXIFS('Dane dzienne'!G:G,'Dane dzienne'!B:B,A142),"-")</f>
        <v/>
      </c>
    </row>
    <row r="143">
      <c r="A143" s="6" t="inlineStr">
        <is>
          <t>42677</t>
        </is>
      </c>
      <c r="B143" s="7" t="inlineStr">
        <is>
          <t>Dog Treats Bakery</t>
        </is>
      </c>
      <c r="C143" s="6" t="inlineStr">
        <is>
          <t>Friends</t>
        </is>
      </c>
      <c r="D143" s="9">
        <f>IFERROR(MINIFS('Dane dzienne'!E:E,'Dane dzienne'!B:B,A143),"-")</f>
        <v/>
      </c>
      <c r="E143" s="9">
        <f>IFERROR(ROUND(AVERAGEIF('Dane dzienne'!B:B,A143,'Dane dzienne'!E:E),2),"-")</f>
        <v/>
      </c>
      <c r="F143" s="6">
        <f>IFERROR(ROUND(AVERAGEIF('Dane dzienne'!B:B,A143,'Dane dzienne'!F:F),0),"-")</f>
        <v/>
      </c>
      <c r="G143" s="6">
        <f>IFERROR(MAXIFS('Dane dzienne'!G:G,'Dane dzienne'!B:B,A143),"-")</f>
        <v/>
      </c>
    </row>
    <row r="144">
      <c r="A144" s="4" t="inlineStr">
        <is>
          <t>42678</t>
        </is>
      </c>
      <c r="B144" s="5" t="inlineStr">
        <is>
          <t>Pet Accessories Van</t>
        </is>
      </c>
      <c r="C144" s="4" t="inlineStr">
        <is>
          <t>Friends</t>
        </is>
      </c>
      <c r="D144" s="8">
        <f>IFERROR(MINIFS('Dane dzienne'!E:E,'Dane dzienne'!B:B,A144),"-")</f>
        <v/>
      </c>
      <c r="E144" s="8">
        <f>IFERROR(ROUND(AVERAGEIF('Dane dzienne'!B:B,A144,'Dane dzienne'!E:E),2),"-")</f>
        <v/>
      </c>
      <c r="F144" s="4">
        <f>IFERROR(ROUND(AVERAGEIF('Dane dzienne'!B:B,A144,'Dane dzienne'!F:F),0),"-")</f>
        <v/>
      </c>
      <c r="G144" s="4">
        <f>IFERROR(MAXIFS('Dane dzienne'!G:G,'Dane dzienne'!B:B,A144),"-")</f>
        <v/>
      </c>
    </row>
    <row r="145">
      <c r="A145" s="6" t="inlineStr">
        <is>
          <t>42679</t>
        </is>
      </c>
      <c r="B145" s="7" t="inlineStr">
        <is>
          <t>Heartlake City Bunny Hotel</t>
        </is>
      </c>
      <c r="C145" s="6" t="inlineStr">
        <is>
          <t>Friends</t>
        </is>
      </c>
      <c r="D145" s="9">
        <f>IFERROR(MINIFS('Dane dzienne'!E:E,'Dane dzienne'!B:B,A145),"-")</f>
        <v/>
      </c>
      <c r="E145" s="9">
        <f>IFERROR(ROUND(AVERAGEIF('Dane dzienne'!B:B,A145,'Dane dzienne'!E:E),2),"-")</f>
        <v/>
      </c>
      <c r="F145" s="6">
        <f>IFERROR(ROUND(AVERAGEIF('Dane dzienne'!B:B,A145,'Dane dzienne'!F:F),0),"-")</f>
        <v/>
      </c>
      <c r="G145" s="6">
        <f>IFERROR(MAXIFS('Dane dzienne'!G:G,'Dane dzienne'!B:B,A145),"-")</f>
        <v/>
      </c>
    </row>
    <row r="146">
      <c r="A146" s="4" t="inlineStr">
        <is>
          <t>42680</t>
        </is>
      </c>
      <c r="B146" s="5" t="inlineStr">
        <is>
          <t>Heartlake City Mini Supermarket</t>
        </is>
      </c>
      <c r="C146" s="4" t="inlineStr">
        <is>
          <t>Friends</t>
        </is>
      </c>
      <c r="D146" s="8">
        <f>IFERROR(MINIFS('Dane dzienne'!E:E,'Dane dzienne'!B:B,A146),"-")</f>
        <v/>
      </c>
      <c r="E146" s="8">
        <f>IFERROR(ROUND(AVERAGEIF('Dane dzienne'!B:B,A146,'Dane dzienne'!E:E),2),"-")</f>
        <v/>
      </c>
      <c r="F146" s="4">
        <f>IFERROR(ROUND(AVERAGEIF('Dane dzienne'!B:B,A146,'Dane dzienne'!F:F),0),"-")</f>
        <v/>
      </c>
      <c r="G146" s="4">
        <f>IFERROR(MAXIFS('Dane dzienne'!G:G,'Dane dzienne'!B:B,A146),"-")</f>
        <v/>
      </c>
    </row>
    <row r="147">
      <c r="A147" s="6" t="inlineStr">
        <is>
          <t>42685</t>
        </is>
      </c>
      <c r="B147" s="7" t="inlineStr">
        <is>
          <t>Heartlake City Fashion Show</t>
        </is>
      </c>
      <c r="C147" s="6" t="inlineStr">
        <is>
          <t>Friends</t>
        </is>
      </c>
      <c r="D147" s="9">
        <f>IFERROR(MINIFS('Dane dzienne'!E:E,'Dane dzienne'!B:B,A147),"-")</f>
        <v/>
      </c>
      <c r="E147" s="9">
        <f>IFERROR(ROUND(AVERAGEIF('Dane dzienne'!B:B,A147,'Dane dzienne'!E:E),2),"-")</f>
        <v/>
      </c>
      <c r="F147" s="6">
        <f>IFERROR(ROUND(AVERAGEIF('Dane dzienne'!B:B,A147,'Dane dzienne'!F:F),0),"-")</f>
        <v/>
      </c>
      <c r="G147" s="6">
        <f>IFERROR(MAXIFS('Dane dzienne'!G:G,'Dane dzienne'!B:B,A147),"-")</f>
        <v/>
      </c>
    </row>
    <row r="148">
      <c r="A148" s="4" t="inlineStr">
        <is>
          <t>42686</t>
        </is>
      </c>
      <c r="B148" s="5" t="inlineStr">
        <is>
          <t>Fun Indoor Playground</t>
        </is>
      </c>
      <c r="C148" s="4" t="inlineStr">
        <is>
          <t>Friends</t>
        </is>
      </c>
      <c r="D148" s="8">
        <f>IFERROR(MINIFS('Dane dzienne'!E:E,'Dane dzienne'!B:B,A148),"-")</f>
        <v/>
      </c>
      <c r="E148" s="8">
        <f>IFERROR(ROUND(AVERAGEIF('Dane dzienne'!B:B,A148,'Dane dzienne'!E:E),2),"-")</f>
        <v/>
      </c>
      <c r="F148" s="4">
        <f>IFERROR(ROUND(AVERAGEIF('Dane dzienne'!B:B,A148,'Dane dzienne'!F:F),0),"-")</f>
        <v/>
      </c>
      <c r="G148" s="4">
        <f>IFERROR(MAXIFS('Dane dzienne'!G:G,'Dane dzienne'!B:B,A148),"-")</f>
        <v/>
      </c>
    </row>
    <row r="149">
      <c r="A149" s="6" t="inlineStr">
        <is>
          <t>42689</t>
        </is>
      </c>
      <c r="B149" s="7" t="inlineStr">
        <is>
          <t>Heartlake City Friends Club House</t>
        </is>
      </c>
      <c r="C149" s="6" t="inlineStr">
        <is>
          <t>Friends</t>
        </is>
      </c>
      <c r="D149" s="9">
        <f>IFERROR(MINIFS('Dane dzienne'!E:E,'Dane dzienne'!B:B,A149),"-")</f>
        <v/>
      </c>
      <c r="E149" s="9">
        <f>IFERROR(ROUND(AVERAGEIF('Dane dzienne'!B:B,A149,'Dane dzienne'!E:E),2),"-")</f>
        <v/>
      </c>
      <c r="F149" s="6">
        <f>IFERROR(ROUND(AVERAGEIF('Dane dzienne'!B:B,A149,'Dane dzienne'!F:F),0),"-")</f>
        <v/>
      </c>
      <c r="G149" s="6">
        <f>IFERROR(MAXIFS('Dane dzienne'!G:G,'Dane dzienne'!B:B,A149),"-")</f>
        <v/>
      </c>
    </row>
    <row r="150">
      <c r="A150" s="4" t="inlineStr">
        <is>
          <t>42692</t>
        </is>
      </c>
      <c r="B150" s="5" t="inlineStr">
        <is>
          <t>Ice Cream &amp; Balloon Stand</t>
        </is>
      </c>
      <c r="C150" s="4" t="inlineStr">
        <is>
          <t>Friends</t>
        </is>
      </c>
      <c r="D150" s="8">
        <f>IFERROR(MINIFS('Dane dzienne'!E:E,'Dane dzienne'!B:B,A150),"-")</f>
        <v/>
      </c>
      <c r="E150" s="8">
        <f>IFERROR(ROUND(AVERAGEIF('Dane dzienne'!B:B,A150,'Dane dzienne'!E:E),2),"-")</f>
        <v/>
      </c>
      <c r="F150" s="4">
        <f>IFERROR(ROUND(AVERAGEIF('Dane dzienne'!B:B,A150,'Dane dzienne'!F:F),0),"-")</f>
        <v/>
      </c>
      <c r="G150" s="4">
        <f>IFERROR(MAXIFS('Dane dzienne'!G:G,'Dane dzienne'!B:B,A150),"-")</f>
        <v/>
      </c>
    </row>
    <row r="151">
      <c r="A151" s="6" t="inlineStr">
        <is>
          <t>42695</t>
        </is>
      </c>
      <c r="B151" s="7" t="inlineStr">
        <is>
          <t>Horse &amp; Baby Foal Trailer</t>
        </is>
      </c>
      <c r="C151" s="6" t="inlineStr">
        <is>
          <t>Friends</t>
        </is>
      </c>
      <c r="D151" s="9">
        <f>IFERROR(MINIFS('Dane dzienne'!E:E,'Dane dzienne'!B:B,A151),"-")</f>
        <v/>
      </c>
      <c r="E151" s="9">
        <f>IFERROR(ROUND(AVERAGEIF('Dane dzienne'!B:B,A151,'Dane dzienne'!E:E),2),"-")</f>
        <v/>
      </c>
      <c r="F151" s="6">
        <f>IFERROR(ROUND(AVERAGEIF('Dane dzienne'!B:B,A151,'Dane dzienne'!F:F),0),"-")</f>
        <v/>
      </c>
      <c r="G151" s="6">
        <f>IFERROR(MAXIFS('Dane dzienne'!G:G,'Dane dzienne'!B:B,A151),"-")</f>
        <v/>
      </c>
    </row>
    <row r="152">
      <c r="A152" s="4" t="inlineStr">
        <is>
          <t>42698</t>
        </is>
      </c>
      <c r="B152" s="5" t="inlineStr">
        <is>
          <t>LEGO Friends Advent Calendar 2026</t>
        </is>
      </c>
      <c r="C152" s="4" t="inlineStr">
        <is>
          <t>Friends</t>
        </is>
      </c>
      <c r="D152" s="8">
        <f>IFERROR(MINIFS('Dane dzienne'!E:E,'Dane dzienne'!B:B,A152),"-")</f>
        <v/>
      </c>
      <c r="E152" s="8">
        <f>IFERROR(ROUND(AVERAGEIF('Dane dzienne'!B:B,A152,'Dane dzienne'!E:E),2),"-")</f>
        <v/>
      </c>
      <c r="F152" s="4">
        <f>IFERROR(ROUND(AVERAGEIF('Dane dzienne'!B:B,A152,'Dane dzienne'!F:F),0),"-")</f>
        <v/>
      </c>
      <c r="G152" s="4">
        <f>IFERROR(MAXIFS('Dane dzienne'!G:G,'Dane dzienne'!B:B,A152),"-")</f>
        <v/>
      </c>
    </row>
    <row r="153">
      <c r="A153" s="6" t="inlineStr">
        <is>
          <t>42699</t>
        </is>
      </c>
      <c r="B153" s="7" t="inlineStr">
        <is>
          <t>Beach House with Seals</t>
        </is>
      </c>
      <c r="C153" s="6" t="inlineStr">
        <is>
          <t>Friends</t>
        </is>
      </c>
      <c r="D153" s="9">
        <f>IFERROR(MINIFS('Dane dzienne'!E:E,'Dane dzienne'!B:B,A153),"-")</f>
        <v/>
      </c>
      <c r="E153" s="9">
        <f>IFERROR(ROUND(AVERAGEIF('Dane dzienne'!B:B,A153,'Dane dzienne'!E:E),2),"-")</f>
        <v/>
      </c>
      <c r="F153" s="6">
        <f>IFERROR(ROUND(AVERAGEIF('Dane dzienne'!B:B,A153,'Dane dzienne'!F:F),0),"-")</f>
        <v/>
      </c>
      <c r="G153" s="6">
        <f>IFERROR(MAXIFS('Dane dzienne'!G:G,'Dane dzienne'!B:B,A153),"-")</f>
        <v/>
      </c>
    </row>
    <row r="154">
      <c r="A154" s="4" t="inlineStr">
        <is>
          <t>30724</t>
        </is>
      </c>
      <c r="B154" s="5" t="inlineStr">
        <is>
          <t>Dumbledore's Office with Harry Potter (Polybag)</t>
        </is>
      </c>
      <c r="C154" s="4" t="inlineStr">
        <is>
          <t>Harry Potter</t>
        </is>
      </c>
      <c r="D154" s="8">
        <f>IFERROR(MINIFS('Dane dzienne'!E:E,'Dane dzienne'!B:B,A154),"-")</f>
        <v/>
      </c>
      <c r="E154" s="8">
        <f>IFERROR(ROUND(AVERAGEIF('Dane dzienne'!B:B,A154,'Dane dzienne'!E:E),2),"-")</f>
        <v/>
      </c>
      <c r="F154" s="4">
        <f>IFERROR(ROUND(AVERAGEIF('Dane dzienne'!B:B,A154,'Dane dzienne'!F:F),0),"-")</f>
        <v/>
      </c>
      <c r="G154" s="4">
        <f>IFERROR(MAXIFS('Dane dzienne'!G:G,'Dane dzienne'!B:B,A154),"-")</f>
        <v/>
      </c>
    </row>
    <row r="155">
      <c r="A155" s="6" t="inlineStr">
        <is>
          <t>76437</t>
        </is>
      </c>
      <c r="B155" s="7" t="inlineStr">
        <is>
          <t>The Burrow: Collectors' Edition</t>
        </is>
      </c>
      <c r="C155" s="6" t="inlineStr">
        <is>
          <t>Harry Potter</t>
        </is>
      </c>
      <c r="D155" s="9">
        <f>IFERROR(MINIFS('Dane dzienne'!E:E,'Dane dzienne'!B:B,A155),"-")</f>
        <v/>
      </c>
      <c r="E155" s="9">
        <f>IFERROR(ROUND(AVERAGEIF('Dane dzienne'!B:B,A155,'Dane dzienne'!E:E),2),"-")</f>
        <v/>
      </c>
      <c r="F155" s="6">
        <f>IFERROR(ROUND(AVERAGEIF('Dane dzienne'!B:B,A155,'Dane dzienne'!F:F),0),"-")</f>
        <v/>
      </c>
      <c r="G155" s="6">
        <f>IFERROR(MAXIFS('Dane dzienne'!G:G,'Dane dzienne'!B:B,A155),"-")</f>
        <v/>
      </c>
    </row>
    <row r="156">
      <c r="A156" s="4" t="inlineStr">
        <is>
          <t>76442</t>
        </is>
      </c>
      <c r="B156" s="5" t="inlineStr">
        <is>
          <t>Hogwarts Castle: Charms Class</t>
        </is>
      </c>
      <c r="C156" s="4" t="inlineStr">
        <is>
          <t>Harry Potter</t>
        </is>
      </c>
      <c r="D156" s="8">
        <f>IFERROR(MINIFS('Dane dzienne'!E:E,'Dane dzienne'!B:B,A156),"-")</f>
        <v/>
      </c>
      <c r="E156" s="8">
        <f>IFERROR(ROUND(AVERAGEIF('Dane dzienne'!B:B,A156,'Dane dzienne'!E:E),2),"-")</f>
        <v/>
      </c>
      <c r="F156" s="4">
        <f>IFERROR(ROUND(AVERAGEIF('Dane dzienne'!B:B,A156,'Dane dzienne'!F:F),0),"-")</f>
        <v/>
      </c>
      <c r="G156" s="4">
        <f>IFERROR(MAXIFS('Dane dzienne'!G:G,'Dane dzienne'!B:B,A156),"-")</f>
        <v/>
      </c>
    </row>
    <row r="157">
      <c r="A157" s="6" t="inlineStr">
        <is>
          <t>76445</t>
        </is>
      </c>
      <c r="B157" s="7" t="inlineStr">
        <is>
          <t>Hogwarts Castle: Herbology Class</t>
        </is>
      </c>
      <c r="C157" s="6" t="inlineStr">
        <is>
          <t>Harry Potter</t>
        </is>
      </c>
      <c r="D157" s="9">
        <f>IFERROR(MINIFS('Dane dzienne'!E:E,'Dane dzienne'!B:B,A157),"-")</f>
        <v/>
      </c>
      <c r="E157" s="9">
        <f>IFERROR(ROUND(AVERAGEIF('Dane dzienne'!B:B,A157,'Dane dzienne'!E:E),2),"-")</f>
        <v/>
      </c>
      <c r="F157" s="6">
        <f>IFERROR(ROUND(AVERAGEIF('Dane dzienne'!B:B,A157,'Dane dzienne'!F:F),0),"-")</f>
        <v/>
      </c>
      <c r="G157" s="6">
        <f>IFERROR(MAXIFS('Dane dzienne'!G:G,'Dane dzienne'!B:B,A157),"-")</f>
        <v/>
      </c>
    </row>
    <row r="158">
      <c r="A158" s="4" t="inlineStr">
        <is>
          <t>76447</t>
        </is>
      </c>
      <c r="B158" s="5" t="inlineStr">
        <is>
          <t>Hogwarts Castle: Flying Lessons</t>
        </is>
      </c>
      <c r="C158" s="4" t="inlineStr">
        <is>
          <t>Harry Potter</t>
        </is>
      </c>
      <c r="D158" s="8">
        <f>IFERROR(MINIFS('Dane dzienne'!E:E,'Dane dzienne'!B:B,A158),"-")</f>
        <v/>
      </c>
      <c r="E158" s="8">
        <f>IFERROR(ROUND(AVERAGEIF('Dane dzienne'!B:B,A158,'Dane dzienne'!E:E),2),"-")</f>
        <v/>
      </c>
      <c r="F158" s="4">
        <f>IFERROR(ROUND(AVERAGEIF('Dane dzienne'!B:B,A158,'Dane dzienne'!F:F),0),"-")</f>
        <v/>
      </c>
      <c r="G158" s="4">
        <f>IFERROR(MAXIFS('Dane dzienne'!G:G,'Dane dzienne'!B:B,A158),"-")</f>
        <v/>
      </c>
    </row>
    <row r="159">
      <c r="A159" s="6" t="inlineStr">
        <is>
          <t>76449</t>
        </is>
      </c>
      <c r="B159" s="7" t="inlineStr">
        <is>
          <t>Chomping Monster Book of Monsters</t>
        </is>
      </c>
      <c r="C159" s="6" t="inlineStr">
        <is>
          <t>Harry Potter</t>
        </is>
      </c>
      <c r="D159" s="9">
        <f>IFERROR(MINIFS('Dane dzienne'!E:E,'Dane dzienne'!B:B,A159),"-")</f>
        <v/>
      </c>
      <c r="E159" s="9">
        <f>IFERROR(ROUND(AVERAGEIF('Dane dzienne'!B:B,A159,'Dane dzienne'!E:E),2),"-")</f>
        <v/>
      </c>
      <c r="F159" s="6">
        <f>IFERROR(ROUND(AVERAGEIF('Dane dzienne'!B:B,A159,'Dane dzienne'!F:F),0),"-")</f>
        <v/>
      </c>
      <c r="G159" s="6">
        <f>IFERROR(MAXIFS('Dane dzienne'!G:G,'Dane dzienne'!B:B,A159),"-")</f>
        <v/>
      </c>
    </row>
    <row r="160">
      <c r="A160" s="4" t="inlineStr">
        <is>
          <t>76450</t>
        </is>
      </c>
      <c r="B160" s="5" t="inlineStr">
        <is>
          <t>Book Nook: Hogwarts Express</t>
        </is>
      </c>
      <c r="C160" s="4" t="inlineStr">
        <is>
          <t>Harry Potter</t>
        </is>
      </c>
      <c r="D160" s="8">
        <f>IFERROR(MINIFS('Dane dzienne'!E:E,'Dane dzienne'!B:B,A160),"-")</f>
        <v/>
      </c>
      <c r="E160" s="8">
        <f>IFERROR(ROUND(AVERAGEIF('Dane dzienne'!B:B,A160,'Dane dzienne'!E:E),2),"-")</f>
        <v/>
      </c>
      <c r="F160" s="4">
        <f>IFERROR(ROUND(AVERAGEIF('Dane dzienne'!B:B,A160,'Dane dzienne'!F:F),0),"-")</f>
        <v/>
      </c>
      <c r="G160" s="4">
        <f>IFERROR(MAXIFS('Dane dzienne'!G:G,'Dane dzienne'!B:B,A160),"-")</f>
        <v/>
      </c>
    </row>
    <row r="161">
      <c r="A161" s="6" t="inlineStr">
        <is>
          <t>76451</t>
        </is>
      </c>
      <c r="B161" s="7" t="inlineStr">
        <is>
          <t>Privet Drive: Aunt Marge's Visit</t>
        </is>
      </c>
      <c r="C161" s="6" t="inlineStr">
        <is>
          <t>Harry Potter</t>
        </is>
      </c>
      <c r="D161" s="9">
        <f>IFERROR(MINIFS('Dane dzienne'!E:E,'Dane dzienne'!B:B,A161),"-")</f>
        <v/>
      </c>
      <c r="E161" s="9">
        <f>IFERROR(ROUND(AVERAGEIF('Dane dzienne'!B:B,A161,'Dane dzienne'!E:E),2),"-")</f>
        <v/>
      </c>
      <c r="F161" s="6">
        <f>IFERROR(ROUND(AVERAGEIF('Dane dzienne'!B:B,A161,'Dane dzienne'!F:F),0),"-")</f>
        <v/>
      </c>
      <c r="G161" s="6">
        <f>IFERROR(MAXIFS('Dane dzienne'!G:G,'Dane dzienne'!B:B,A161),"-")</f>
        <v/>
      </c>
    </row>
    <row r="162">
      <c r="A162" s="4" t="inlineStr">
        <is>
          <t>76452</t>
        </is>
      </c>
      <c r="B162" s="5" t="inlineStr">
        <is>
          <t>Quality Quidditch Supplies &amp; Ice Cream Parlour</t>
        </is>
      </c>
      <c r="C162" s="4" t="inlineStr">
        <is>
          <t>Harry Potter</t>
        </is>
      </c>
      <c r="D162" s="8">
        <f>IFERROR(MINIFS('Dane dzienne'!E:E,'Dane dzienne'!B:B,A162),"-")</f>
        <v/>
      </c>
      <c r="E162" s="8">
        <f>IFERROR(ROUND(AVERAGEIF('Dane dzienne'!B:B,A162,'Dane dzienne'!E:E),2),"-")</f>
        <v/>
      </c>
      <c r="F162" s="4">
        <f>IFERROR(ROUND(AVERAGEIF('Dane dzienne'!B:B,A162,'Dane dzienne'!F:F),0),"-")</f>
        <v/>
      </c>
      <c r="G162" s="4">
        <f>IFERROR(MAXIFS('Dane dzienne'!G:G,'Dane dzienne'!B:B,A162),"-")</f>
        <v/>
      </c>
    </row>
    <row r="163">
      <c r="A163" s="6" t="inlineStr">
        <is>
          <t>76458</t>
        </is>
      </c>
      <c r="B163" s="7" t="inlineStr">
        <is>
          <t>Thestral Family</t>
        </is>
      </c>
      <c r="C163" s="6" t="inlineStr">
        <is>
          <t>Harry Potter</t>
        </is>
      </c>
      <c r="D163" s="9">
        <f>IFERROR(MINIFS('Dane dzienne'!E:E,'Dane dzienne'!B:B,A163),"-")</f>
        <v/>
      </c>
      <c r="E163" s="9">
        <f>IFERROR(ROUND(AVERAGEIF('Dane dzienne'!B:B,A163,'Dane dzienne'!E:E),2),"-")</f>
        <v/>
      </c>
      <c r="F163" s="6">
        <f>IFERROR(ROUND(AVERAGEIF('Dane dzienne'!B:B,A163,'Dane dzienne'!F:F),0),"-")</f>
        <v/>
      </c>
      <c r="G163" s="6">
        <f>IFERROR(MAXIFS('Dane dzienne'!G:G,'Dane dzienne'!B:B,A163),"-")</f>
        <v/>
      </c>
    </row>
    <row r="164">
      <c r="A164" s="4" t="inlineStr">
        <is>
          <t>76467</t>
        </is>
      </c>
      <c r="B164" s="5" t="inlineStr">
        <is>
          <t>Luna Lovegood's House</t>
        </is>
      </c>
      <c r="C164" s="4" t="inlineStr">
        <is>
          <t>Harry Potter</t>
        </is>
      </c>
      <c r="D164" s="8">
        <f>IFERROR(MINIFS('Dane dzienne'!E:E,'Dane dzienne'!B:B,A164),"-")</f>
        <v/>
      </c>
      <c r="E164" s="8">
        <f>IFERROR(ROUND(AVERAGEIF('Dane dzienne'!B:B,A164,'Dane dzienne'!E:E),2),"-")</f>
        <v/>
      </c>
      <c r="F164" s="4">
        <f>IFERROR(ROUND(AVERAGEIF('Dane dzienne'!B:B,A164,'Dane dzienne'!F:F),0),"-")</f>
        <v/>
      </c>
      <c r="G164" s="4">
        <f>IFERROR(MAXIFS('Dane dzienne'!G:G,'Dane dzienne'!B:B,A164),"-")</f>
        <v/>
      </c>
    </row>
    <row r="165">
      <c r="A165" s="6" t="inlineStr">
        <is>
          <t>76470</t>
        </is>
      </c>
      <c r="B165" s="7" t="inlineStr">
        <is>
          <t>Enchanted Flying Ford Anglia</t>
        </is>
      </c>
      <c r="C165" s="6" t="inlineStr">
        <is>
          <t>Harry Potter</t>
        </is>
      </c>
      <c r="D165" s="9">
        <f>IFERROR(MINIFS('Dane dzienne'!E:E,'Dane dzienne'!B:B,A165),"-")</f>
        <v/>
      </c>
      <c r="E165" s="9">
        <f>IFERROR(ROUND(AVERAGEIF('Dane dzienne'!B:B,A165,'Dane dzienne'!E:E),2),"-")</f>
        <v/>
      </c>
      <c r="F165" s="6">
        <f>IFERROR(ROUND(AVERAGEIF('Dane dzienne'!B:B,A165,'Dane dzienne'!F:F),0),"-")</f>
        <v/>
      </c>
      <c r="G165" s="6">
        <f>IFERROR(MAXIFS('Dane dzienne'!G:G,'Dane dzienne'!B:B,A165),"-")</f>
        <v/>
      </c>
    </row>
    <row r="166">
      <c r="A166" s="4" t="inlineStr">
        <is>
          <t>77037</t>
        </is>
      </c>
      <c r="B166" s="5" t="inlineStr">
        <is>
          <t>Aloy &amp; Varl vs. Shell-Walker &amp; Sawtooth</t>
        </is>
      </c>
      <c r="C166" s="4" t="inlineStr">
        <is>
          <t>Horizon</t>
        </is>
      </c>
      <c r="D166" s="8">
        <f>IFERROR(MINIFS('Dane dzienne'!E:E,'Dane dzienne'!B:B,A166),"-")</f>
        <v/>
      </c>
      <c r="E166" s="8">
        <f>IFERROR(ROUND(AVERAGEIF('Dane dzienne'!B:B,A166,'Dane dzienne'!E:E),2),"-")</f>
        <v/>
      </c>
      <c r="F166" s="4">
        <f>IFERROR(ROUND(AVERAGEIF('Dane dzienne'!B:B,A166,'Dane dzienne'!F:F),0),"-")</f>
        <v/>
      </c>
      <c r="G166" s="4">
        <f>IFERROR(MAXIFS('Dane dzienne'!G:G,'Dane dzienne'!B:B,A166),"-")</f>
        <v/>
      </c>
    </row>
    <row r="167">
      <c r="A167" s="6" t="inlineStr">
        <is>
          <t>10309</t>
        </is>
      </c>
      <c r="B167" s="7" t="inlineStr">
        <is>
          <t>Succulents</t>
        </is>
      </c>
      <c r="C167" s="6" t="inlineStr">
        <is>
          <t>Icons</t>
        </is>
      </c>
      <c r="D167" s="9">
        <f>IFERROR(MINIFS('Dane dzienne'!E:E,'Dane dzienne'!B:B,A167),"-")</f>
        <v/>
      </c>
      <c r="E167" s="9">
        <f>IFERROR(ROUND(AVERAGEIF('Dane dzienne'!B:B,A167,'Dane dzienne'!E:E),2),"-")</f>
        <v/>
      </c>
      <c r="F167" s="6">
        <f>IFERROR(ROUND(AVERAGEIF('Dane dzienne'!B:B,A167,'Dane dzienne'!F:F),0),"-")</f>
        <v/>
      </c>
      <c r="G167" s="6">
        <f>IFERROR(MAXIFS('Dane dzienne'!G:G,'Dane dzienne'!B:B,A167),"-")</f>
        <v/>
      </c>
    </row>
    <row r="168">
      <c r="A168" s="4" t="inlineStr">
        <is>
          <t>10315</t>
        </is>
      </c>
      <c r="B168" s="5" t="inlineStr">
        <is>
          <t>Tranquil Garden</t>
        </is>
      </c>
      <c r="C168" s="4" t="inlineStr">
        <is>
          <t>Icons</t>
        </is>
      </c>
      <c r="D168" s="8">
        <f>IFERROR(MINIFS('Dane dzienne'!E:E,'Dane dzienne'!B:B,A168),"-")</f>
        <v/>
      </c>
      <c r="E168" s="8">
        <f>IFERROR(ROUND(AVERAGEIF('Dane dzienne'!B:B,A168,'Dane dzienne'!E:E),2),"-")</f>
        <v/>
      </c>
      <c r="F168" s="4">
        <f>IFERROR(ROUND(AVERAGEIF('Dane dzienne'!B:B,A168,'Dane dzienne'!F:F),0),"-")</f>
        <v/>
      </c>
      <c r="G168" s="4">
        <f>IFERROR(MAXIFS('Dane dzienne'!G:G,'Dane dzienne'!B:B,A168),"-")</f>
        <v/>
      </c>
    </row>
    <row r="169">
      <c r="A169" s="6" t="inlineStr">
        <is>
          <t>10326</t>
        </is>
      </c>
      <c r="B169" s="7" t="inlineStr">
        <is>
          <t>Natural History Museum</t>
        </is>
      </c>
      <c r="C169" s="6" t="inlineStr">
        <is>
          <t>Icons</t>
        </is>
      </c>
      <c r="D169" s="9">
        <f>IFERROR(MINIFS('Dane dzienne'!E:E,'Dane dzienne'!B:B,A169),"-")</f>
        <v/>
      </c>
      <c r="E169" s="9">
        <f>IFERROR(ROUND(AVERAGEIF('Dane dzienne'!B:B,A169,'Dane dzienne'!E:E),2),"-")</f>
        <v/>
      </c>
      <c r="F169" s="6">
        <f>IFERROR(ROUND(AVERAGEIF('Dane dzienne'!B:B,A169,'Dane dzienne'!F:F),0),"-")</f>
        <v/>
      </c>
      <c r="G169" s="6">
        <f>IFERROR(MAXIFS('Dane dzienne'!G:G,'Dane dzienne'!B:B,A169),"-")</f>
        <v/>
      </c>
    </row>
    <row r="170">
      <c r="A170" s="4" t="inlineStr">
        <is>
          <t>10335</t>
        </is>
      </c>
      <c r="B170" s="5" t="inlineStr">
        <is>
          <t>The Endurance</t>
        </is>
      </c>
      <c r="C170" s="4" t="inlineStr">
        <is>
          <t>Icons</t>
        </is>
      </c>
      <c r="D170" s="8">
        <f>IFERROR(MINIFS('Dane dzienne'!E:E,'Dane dzienne'!B:B,A170),"-")</f>
        <v/>
      </c>
      <c r="E170" s="8">
        <f>IFERROR(ROUND(AVERAGEIF('Dane dzienne'!B:B,A170,'Dane dzienne'!E:E),2),"-")</f>
        <v/>
      </c>
      <c r="F170" s="4">
        <f>IFERROR(ROUND(AVERAGEIF('Dane dzienne'!B:B,A170,'Dane dzienne'!F:F),0),"-")</f>
        <v/>
      </c>
      <c r="G170" s="4">
        <f>IFERROR(MAXIFS('Dane dzienne'!G:G,'Dane dzienne'!B:B,A170),"-")</f>
        <v/>
      </c>
    </row>
    <row r="171">
      <c r="A171" s="6" t="inlineStr">
        <is>
          <t>10337</t>
        </is>
      </c>
      <c r="B171" s="7" t="inlineStr">
        <is>
          <t>Lamborghini Countach 5000 Quattrovalvole</t>
        </is>
      </c>
      <c r="C171" s="6" t="inlineStr">
        <is>
          <t>Icons</t>
        </is>
      </c>
      <c r="D171" s="9">
        <f>IFERROR(MINIFS('Dane dzienne'!E:E,'Dane dzienne'!B:B,A171),"-")</f>
        <v/>
      </c>
      <c r="E171" s="9">
        <f>IFERROR(ROUND(AVERAGEIF('Dane dzienne'!B:B,A171,'Dane dzienne'!E:E),2),"-")</f>
        <v/>
      </c>
      <c r="F171" s="6">
        <f>IFERROR(ROUND(AVERAGEIF('Dane dzienne'!B:B,A171,'Dane dzienne'!F:F),0),"-")</f>
        <v/>
      </c>
      <c r="G171" s="6">
        <f>IFERROR(MAXIFS('Dane dzienne'!G:G,'Dane dzienne'!B:B,A171),"-")</f>
        <v/>
      </c>
    </row>
    <row r="172">
      <c r="A172" s="4" t="inlineStr">
        <is>
          <t>10340</t>
        </is>
      </c>
      <c r="B172" s="5" t="inlineStr">
        <is>
          <t>Wreath</t>
        </is>
      </c>
      <c r="C172" s="4" t="inlineStr">
        <is>
          <t>Icons</t>
        </is>
      </c>
      <c r="D172" s="8">
        <f>IFERROR(MINIFS('Dane dzienne'!E:E,'Dane dzienne'!B:B,A172),"-")</f>
        <v/>
      </c>
      <c r="E172" s="8">
        <f>IFERROR(ROUND(AVERAGEIF('Dane dzienne'!B:B,A172,'Dane dzienne'!E:E),2),"-")</f>
        <v/>
      </c>
      <c r="F172" s="4">
        <f>IFERROR(ROUND(AVERAGEIF('Dane dzienne'!B:B,A172,'Dane dzienne'!F:F),0),"-")</f>
        <v/>
      </c>
      <c r="G172" s="4">
        <f>IFERROR(MAXIFS('Dane dzienne'!G:G,'Dane dzienne'!B:B,A172),"-")</f>
        <v/>
      </c>
    </row>
    <row r="173">
      <c r="A173" s="6" t="inlineStr">
        <is>
          <t>10341</t>
        </is>
      </c>
      <c r="B173" s="7" t="inlineStr">
        <is>
          <t>NASA: Artemis Space Launch System</t>
        </is>
      </c>
      <c r="C173" s="6" t="inlineStr">
        <is>
          <t>Icons</t>
        </is>
      </c>
      <c r="D173" s="9">
        <f>IFERROR(MINIFS('Dane dzienne'!E:E,'Dane dzienne'!B:B,A173),"-")</f>
        <v/>
      </c>
      <c r="E173" s="9">
        <f>IFERROR(ROUND(AVERAGEIF('Dane dzienne'!B:B,A173,'Dane dzienne'!E:E),2),"-")</f>
        <v/>
      </c>
      <c r="F173" s="6">
        <f>IFERROR(ROUND(AVERAGEIF('Dane dzienne'!B:B,A173,'Dane dzienne'!F:F),0),"-")</f>
        <v/>
      </c>
      <c r="G173" s="6">
        <f>IFERROR(MAXIFS('Dane dzienne'!G:G,'Dane dzienne'!B:B,A173),"-")</f>
        <v/>
      </c>
    </row>
    <row r="174">
      <c r="A174" s="4" t="inlineStr">
        <is>
          <t>10351</t>
        </is>
      </c>
      <c r="B174" s="5" t="inlineStr">
        <is>
          <t>Sherlock Holmes: Book Nook</t>
        </is>
      </c>
      <c r="C174" s="4" t="inlineStr">
        <is>
          <t>Icons</t>
        </is>
      </c>
      <c r="D174" s="8">
        <f>IFERROR(MINIFS('Dane dzienne'!E:E,'Dane dzienne'!B:B,A174),"-")</f>
        <v/>
      </c>
      <c r="E174" s="8">
        <f>IFERROR(ROUND(AVERAGEIF('Dane dzienne'!B:B,A174,'Dane dzienne'!E:E),2),"-")</f>
        <v/>
      </c>
      <c r="F174" s="4">
        <f>IFERROR(ROUND(AVERAGEIF('Dane dzienne'!B:B,A174,'Dane dzienne'!F:F),0),"-")</f>
        <v/>
      </c>
      <c r="G174" s="4">
        <f>IFERROR(MAXIFS('Dane dzienne'!G:G,'Dane dzienne'!B:B,A174),"-")</f>
        <v/>
      </c>
    </row>
    <row r="175">
      <c r="A175" s="6" t="inlineStr">
        <is>
          <t>10353</t>
        </is>
      </c>
      <c r="B175" s="7" t="inlineStr">
        <is>
          <t>Williams Racing FW14B &amp; Nigel Mansell</t>
        </is>
      </c>
      <c r="C175" s="6" t="inlineStr">
        <is>
          <t>Icons</t>
        </is>
      </c>
      <c r="D175" s="9">
        <f>IFERROR(MINIFS('Dane dzienne'!E:E,'Dane dzienne'!B:B,A175),"-")</f>
        <v/>
      </c>
      <c r="E175" s="9">
        <f>IFERROR(ROUND(AVERAGEIF('Dane dzienne'!B:B,A175,'Dane dzienne'!E:E),2),"-")</f>
        <v/>
      </c>
      <c r="F175" s="6">
        <f>IFERROR(ROUND(AVERAGEIF('Dane dzienne'!B:B,A175,'Dane dzienne'!F:F),0),"-")</f>
        <v/>
      </c>
      <c r="G175" s="6">
        <f>IFERROR(MAXIFS('Dane dzienne'!G:G,'Dane dzienne'!B:B,A175),"-")</f>
        <v/>
      </c>
    </row>
    <row r="176">
      <c r="A176" s="4" t="inlineStr">
        <is>
          <t>10363</t>
        </is>
      </c>
      <c r="B176" s="5" t="inlineStr">
        <is>
          <t>Leonardo da Vinci's Flying Machine</t>
        </is>
      </c>
      <c r="C176" s="4" t="inlineStr">
        <is>
          <t>Icons</t>
        </is>
      </c>
      <c r="D176" s="8">
        <f>IFERROR(MINIFS('Dane dzienne'!E:E,'Dane dzienne'!B:B,A176),"-")</f>
        <v/>
      </c>
      <c r="E176" s="8">
        <f>IFERROR(ROUND(AVERAGEIF('Dane dzienne'!B:B,A176,'Dane dzienne'!E:E),2),"-")</f>
        <v/>
      </c>
      <c r="F176" s="4">
        <f>IFERROR(ROUND(AVERAGEIF('Dane dzienne'!B:B,A176,'Dane dzienne'!F:F),0),"-")</f>
        <v/>
      </c>
      <c r="G176" s="4">
        <f>IFERROR(MAXIFS('Dane dzienne'!G:G,'Dane dzienne'!B:B,A176),"-")</f>
        <v/>
      </c>
    </row>
    <row r="177">
      <c r="A177" s="6" t="inlineStr">
        <is>
          <t>10370</t>
        </is>
      </c>
      <c r="B177" s="7" t="inlineStr">
        <is>
          <t>Poinsettia</t>
        </is>
      </c>
      <c r="C177" s="6" t="inlineStr">
        <is>
          <t>Icons</t>
        </is>
      </c>
      <c r="D177" s="9">
        <f>IFERROR(MINIFS('Dane dzienne'!E:E,'Dane dzienne'!B:B,A177),"-")</f>
        <v/>
      </c>
      <c r="E177" s="9">
        <f>IFERROR(ROUND(AVERAGEIF('Dane dzienne'!B:B,A177,'Dane dzienne'!E:E),2),"-")</f>
        <v/>
      </c>
      <c r="F177" s="6">
        <f>IFERROR(ROUND(AVERAGEIF('Dane dzienne'!B:B,A177,'Dane dzienne'!F:F),0),"-")</f>
        <v/>
      </c>
      <c r="G177" s="6">
        <f>IFERROR(MAXIFS('Dane dzienne'!G:G,'Dane dzienne'!B:B,A177),"-")</f>
        <v/>
      </c>
    </row>
    <row r="178">
      <c r="A178" s="4" t="inlineStr">
        <is>
          <t>40516</t>
        </is>
      </c>
      <c r="B178" s="5" t="inlineStr">
        <is>
          <t>Everyone is Awesome</t>
        </is>
      </c>
      <c r="C178" s="4" t="inlineStr">
        <is>
          <t>Icons</t>
        </is>
      </c>
      <c r="D178" s="8">
        <f>IFERROR(MINIFS('Dane dzienne'!E:E,'Dane dzienne'!B:B,A178),"-")</f>
        <v/>
      </c>
      <c r="E178" s="8">
        <f>IFERROR(ROUND(AVERAGEIF('Dane dzienne'!B:B,A178,'Dane dzienne'!E:E),2),"-")</f>
        <v/>
      </c>
      <c r="F178" s="4">
        <f>IFERROR(ROUND(AVERAGEIF('Dane dzienne'!B:B,A178,'Dane dzienne'!F:F),0),"-")</f>
        <v/>
      </c>
      <c r="G178" s="4">
        <f>IFERROR(MAXIFS('Dane dzienne'!G:G,'Dane dzienne'!B:B,A178),"-")</f>
        <v/>
      </c>
    </row>
    <row r="179">
      <c r="A179" s="6" t="inlineStr">
        <is>
          <t>21323</t>
        </is>
      </c>
      <c r="B179" s="7" t="inlineStr">
        <is>
          <t>Grand Piano</t>
        </is>
      </c>
      <c r="C179" s="6" t="inlineStr">
        <is>
          <t>Ideas</t>
        </is>
      </c>
      <c r="D179" s="9">
        <f>IFERROR(MINIFS('Dane dzienne'!E:E,'Dane dzienne'!B:B,A179),"-")</f>
        <v/>
      </c>
      <c r="E179" s="9">
        <f>IFERROR(ROUND(AVERAGEIF('Dane dzienne'!B:B,A179,'Dane dzienne'!E:E),2),"-")</f>
        <v/>
      </c>
      <c r="F179" s="6">
        <f>IFERROR(ROUND(AVERAGEIF('Dane dzienne'!B:B,A179,'Dane dzienne'!F:F),0),"-")</f>
        <v/>
      </c>
      <c r="G179" s="6">
        <f>IFERROR(MAXIFS('Dane dzienne'!G:G,'Dane dzienne'!B:B,A179),"-")</f>
        <v/>
      </c>
    </row>
    <row r="180">
      <c r="A180" s="4" t="inlineStr">
        <is>
          <t>21333</t>
        </is>
      </c>
      <c r="B180" s="5" t="inlineStr">
        <is>
          <t>Vincent van Gogh - The Starry Night</t>
        </is>
      </c>
      <c r="C180" s="4" t="inlineStr">
        <is>
          <t>Ideas</t>
        </is>
      </c>
      <c r="D180" s="8">
        <f>IFERROR(MINIFS('Dane dzienne'!E:E,'Dane dzienne'!B:B,A180),"-")</f>
        <v/>
      </c>
      <c r="E180" s="8">
        <f>IFERROR(ROUND(AVERAGEIF('Dane dzienne'!B:B,A180,'Dane dzienne'!E:E),2),"-")</f>
        <v/>
      </c>
      <c r="F180" s="4">
        <f>IFERROR(ROUND(AVERAGEIF('Dane dzienne'!B:B,A180,'Dane dzienne'!F:F),0),"-")</f>
        <v/>
      </c>
      <c r="G180" s="4">
        <f>IFERROR(MAXIFS('Dane dzienne'!G:G,'Dane dzienne'!B:B,A180),"-")</f>
        <v/>
      </c>
    </row>
    <row r="181">
      <c r="A181" s="6" t="inlineStr">
        <is>
          <t>21345</t>
        </is>
      </c>
      <c r="B181" s="7" t="inlineStr">
        <is>
          <t>Polaroid OneStep SX-70 Camera</t>
        </is>
      </c>
      <c r="C181" s="6" t="inlineStr">
        <is>
          <t>Ideas</t>
        </is>
      </c>
      <c r="D181" s="9">
        <f>IFERROR(MINIFS('Dane dzienne'!E:E,'Dane dzienne'!B:B,A181),"-")</f>
        <v/>
      </c>
      <c r="E181" s="9">
        <f>IFERROR(ROUND(AVERAGEIF('Dane dzienne'!B:B,A181,'Dane dzienne'!E:E),2),"-")</f>
        <v/>
      </c>
      <c r="F181" s="6">
        <f>IFERROR(ROUND(AVERAGEIF('Dane dzienne'!B:B,A181,'Dane dzienne'!F:F),0),"-")</f>
        <v/>
      </c>
      <c r="G181" s="6">
        <f>IFERROR(MAXIFS('Dane dzienne'!G:G,'Dane dzienne'!B:B,A181),"-")</f>
        <v/>
      </c>
    </row>
    <row r="182">
      <c r="A182" s="4" t="inlineStr">
        <is>
          <t>21351</t>
        </is>
      </c>
      <c r="B182" s="5" t="inlineStr">
        <is>
          <t>Tim Burton's The Nightmare Before Christmas</t>
        </is>
      </c>
      <c r="C182" s="4" t="inlineStr">
        <is>
          <t>Ideas</t>
        </is>
      </c>
      <c r="D182" s="8">
        <f>IFERROR(MINIFS('Dane dzienne'!E:E,'Dane dzienne'!B:B,A182),"-")</f>
        <v/>
      </c>
      <c r="E182" s="8">
        <f>IFERROR(ROUND(AVERAGEIF('Dane dzienne'!B:B,A182,'Dane dzienne'!E:E),2),"-")</f>
        <v/>
      </c>
      <c r="F182" s="4">
        <f>IFERROR(ROUND(AVERAGEIF('Dane dzienne'!B:B,A182,'Dane dzienne'!F:F),0),"-")</f>
        <v/>
      </c>
      <c r="G182" s="4">
        <f>IFERROR(MAXIFS('Dane dzienne'!G:G,'Dane dzienne'!B:B,A182),"-")</f>
        <v/>
      </c>
    </row>
    <row r="183">
      <c r="A183" s="6" t="inlineStr">
        <is>
          <t>21353</t>
        </is>
      </c>
      <c r="B183" s="7" t="inlineStr">
        <is>
          <t>The Botanical Garden</t>
        </is>
      </c>
      <c r="C183" s="6" t="inlineStr">
        <is>
          <t>Ideas</t>
        </is>
      </c>
      <c r="D183" s="9">
        <f>IFERROR(MINIFS('Dane dzienne'!E:E,'Dane dzienne'!B:B,A183),"-")</f>
        <v/>
      </c>
      <c r="E183" s="9">
        <f>IFERROR(ROUND(AVERAGEIF('Dane dzienne'!B:B,A183,'Dane dzienne'!E:E),2),"-")</f>
        <v/>
      </c>
      <c r="F183" s="6">
        <f>IFERROR(ROUND(AVERAGEIF('Dane dzienne'!B:B,A183,'Dane dzienne'!F:F),0),"-")</f>
        <v/>
      </c>
      <c r="G183" s="6">
        <f>IFERROR(MAXIFS('Dane dzienne'!G:G,'Dane dzienne'!B:B,A183),"-")</f>
        <v/>
      </c>
    </row>
    <row r="184">
      <c r="A184" s="4" t="inlineStr">
        <is>
          <t>21355</t>
        </is>
      </c>
      <c r="B184" s="5" t="inlineStr">
        <is>
          <t>The Evolution of STEM</t>
        </is>
      </c>
      <c r="C184" s="4" t="inlineStr">
        <is>
          <t>Ideas</t>
        </is>
      </c>
      <c r="D184" s="8">
        <f>IFERROR(MINIFS('Dane dzienne'!E:E,'Dane dzienne'!B:B,A184),"-")</f>
        <v/>
      </c>
      <c r="E184" s="8">
        <f>IFERROR(ROUND(AVERAGEIF('Dane dzienne'!B:B,A184,'Dane dzienne'!E:E),2),"-")</f>
        <v/>
      </c>
      <c r="F184" s="4">
        <f>IFERROR(ROUND(AVERAGEIF('Dane dzienne'!B:B,A184,'Dane dzienne'!F:F),0),"-")</f>
        <v/>
      </c>
      <c r="G184" s="4">
        <f>IFERROR(MAXIFS('Dane dzienne'!G:G,'Dane dzienne'!B:B,A184),"-")</f>
        <v/>
      </c>
    </row>
    <row r="185">
      <c r="A185" s="6" t="inlineStr">
        <is>
          <t>21356</t>
        </is>
      </c>
      <c r="B185" s="7" t="inlineStr">
        <is>
          <t>River Steamboat</t>
        </is>
      </c>
      <c r="C185" s="6" t="inlineStr">
        <is>
          <t>Ideas</t>
        </is>
      </c>
      <c r="D185" s="9">
        <f>IFERROR(MINIFS('Dane dzienne'!E:E,'Dane dzienne'!B:B,A185),"-")</f>
        <v/>
      </c>
      <c r="E185" s="9">
        <f>IFERROR(ROUND(AVERAGEIF('Dane dzienne'!B:B,A185,'Dane dzienne'!E:E),2),"-")</f>
        <v/>
      </c>
      <c r="F185" s="6">
        <f>IFERROR(ROUND(AVERAGEIF('Dane dzienne'!B:B,A185,'Dane dzienne'!F:F),0),"-")</f>
        <v/>
      </c>
      <c r="G185" s="6">
        <f>IFERROR(MAXIFS('Dane dzienne'!G:G,'Dane dzienne'!B:B,A185),"-")</f>
        <v/>
      </c>
    </row>
    <row r="186">
      <c r="A186" s="4" t="inlineStr">
        <is>
          <t>21360</t>
        </is>
      </c>
      <c r="B186" s="5" t="inlineStr">
        <is>
          <t>Willy Wonka &amp; the Chocolate Factory</t>
        </is>
      </c>
      <c r="C186" s="4" t="inlineStr">
        <is>
          <t>Ideas</t>
        </is>
      </c>
      <c r="D186" s="8">
        <f>IFERROR(MINIFS('Dane dzienne'!E:E,'Dane dzienne'!B:B,A186),"-")</f>
        <v/>
      </c>
      <c r="E186" s="8">
        <f>IFERROR(ROUND(AVERAGEIF('Dane dzienne'!B:B,A186,'Dane dzienne'!E:E),2),"-")</f>
        <v/>
      </c>
      <c r="F186" s="4">
        <f>IFERROR(ROUND(AVERAGEIF('Dane dzienne'!B:B,A186,'Dane dzienne'!F:F),0),"-")</f>
        <v/>
      </c>
      <c r="G186" s="4">
        <f>IFERROR(MAXIFS('Dane dzienne'!G:G,'Dane dzienne'!B:B,A186),"-")</f>
        <v/>
      </c>
    </row>
    <row r="187">
      <c r="A187" s="6" t="inlineStr">
        <is>
          <t>76969</t>
        </is>
      </c>
      <c r="B187" s="7" t="inlineStr">
        <is>
          <t>Dinosaur Fossils: Triceratops Skull</t>
        </is>
      </c>
      <c r="C187" s="6" t="inlineStr">
        <is>
          <t>Jurassic</t>
        </is>
      </c>
      <c r="D187" s="9">
        <f>IFERROR(MINIFS('Dane dzienne'!E:E,'Dane dzienne'!B:B,A187),"-")</f>
        <v/>
      </c>
      <c r="E187" s="9">
        <f>IFERROR(ROUND(AVERAGEIF('Dane dzienne'!B:B,A187,'Dane dzienne'!E:E),2),"-")</f>
        <v/>
      </c>
      <c r="F187" s="6">
        <f>IFERROR(ROUND(AVERAGEIF('Dane dzienne'!B:B,A187,'Dane dzienne'!F:F),0),"-")</f>
        <v/>
      </c>
      <c r="G187" s="6">
        <f>IFERROR(MAXIFS('Dane dzienne'!G:G,'Dane dzienne'!B:B,A187),"-")</f>
        <v/>
      </c>
    </row>
    <row r="188">
      <c r="A188" s="4" t="inlineStr">
        <is>
          <t>76972</t>
        </is>
      </c>
      <c r="B188" s="5" t="inlineStr">
        <is>
          <t>Raptor Off-Road Escape</t>
        </is>
      </c>
      <c r="C188" s="4" t="inlineStr">
        <is>
          <t>Jurassic</t>
        </is>
      </c>
      <c r="D188" s="8">
        <f>IFERROR(MINIFS('Dane dzienne'!E:E,'Dane dzienne'!B:B,A188),"-")</f>
        <v/>
      </c>
      <c r="E188" s="8">
        <f>IFERROR(ROUND(AVERAGEIF('Dane dzienne'!B:B,A188,'Dane dzienne'!E:E),2),"-")</f>
        <v/>
      </c>
      <c r="F188" s="4">
        <f>IFERROR(ROUND(AVERAGEIF('Dane dzienne'!B:B,A188,'Dane dzienne'!F:F),0),"-")</f>
        <v/>
      </c>
      <c r="G188" s="4">
        <f>IFERROR(MAXIFS('Dane dzienne'!G:G,'Dane dzienne'!B:B,A188),"-")</f>
        <v/>
      </c>
    </row>
    <row r="189">
      <c r="A189" s="6" t="inlineStr">
        <is>
          <t>76974</t>
        </is>
      </c>
      <c r="B189" s="7" t="inlineStr">
        <is>
          <t>Brick-Built Mosasaurus Boat Mission</t>
        </is>
      </c>
      <c r="C189" s="6" t="inlineStr">
        <is>
          <t>Jurassic</t>
        </is>
      </c>
      <c r="D189" s="9">
        <f>IFERROR(MINIFS('Dane dzienne'!E:E,'Dane dzienne'!B:B,A189),"-")</f>
        <v/>
      </c>
      <c r="E189" s="9">
        <f>IFERROR(ROUND(AVERAGEIF('Dane dzienne'!B:B,A189,'Dane dzienne'!E:E),2),"-")</f>
        <v/>
      </c>
      <c r="F189" s="6">
        <f>IFERROR(ROUND(AVERAGEIF('Dane dzienne'!B:B,A189,'Dane dzienne'!F:F),0),"-")</f>
        <v/>
      </c>
      <c r="G189" s="6">
        <f>IFERROR(MAXIFS('Dane dzienne'!G:G,'Dane dzienne'!B:B,A189),"-")</f>
        <v/>
      </c>
    </row>
    <row r="190">
      <c r="A190" s="4" t="inlineStr">
        <is>
          <t>71440</t>
        </is>
      </c>
      <c r="B190" s="5" t="inlineStr">
        <is>
          <t>Adventures with Interactive LEGO Luigi</t>
        </is>
      </c>
      <c r="C190" s="4" t="inlineStr">
        <is>
          <t>Mario</t>
        </is>
      </c>
      <c r="D190" s="8">
        <f>IFERROR(MINIFS('Dane dzienne'!E:E,'Dane dzienne'!B:B,A190),"-")</f>
        <v/>
      </c>
      <c r="E190" s="8">
        <f>IFERROR(ROUND(AVERAGEIF('Dane dzienne'!B:B,A190,'Dane dzienne'!E:E),2),"-")</f>
        <v/>
      </c>
      <c r="F190" s="4">
        <f>IFERROR(ROUND(AVERAGEIF('Dane dzienne'!B:B,A190,'Dane dzienne'!F:F),0),"-")</f>
        <v/>
      </c>
      <c r="G190" s="4">
        <f>IFERROR(MAXIFS('Dane dzienne'!G:G,'Dane dzienne'!B:B,A190),"-")</f>
        <v/>
      </c>
    </row>
    <row r="191">
      <c r="A191" s="6" t="inlineStr">
        <is>
          <t>71441</t>
        </is>
      </c>
      <c r="B191" s="7" t="inlineStr">
        <is>
          <t>Adventures with Interactive LEGO Peach</t>
        </is>
      </c>
      <c r="C191" s="6" t="inlineStr">
        <is>
          <t>Mario</t>
        </is>
      </c>
      <c r="D191" s="9">
        <f>IFERROR(MINIFS('Dane dzienne'!E:E,'Dane dzienne'!B:B,A191),"-")</f>
        <v/>
      </c>
      <c r="E191" s="9">
        <f>IFERROR(ROUND(AVERAGEIF('Dane dzienne'!B:B,A191,'Dane dzienne'!E:E),2),"-")</f>
        <v/>
      </c>
      <c r="F191" s="6">
        <f>IFERROR(ROUND(AVERAGEIF('Dane dzienne'!B:B,A191,'Dane dzienne'!F:F),0),"-")</f>
        <v/>
      </c>
      <c r="G191" s="6">
        <f>IFERROR(MAXIFS('Dane dzienne'!G:G,'Dane dzienne'!B:B,A191),"-")</f>
        <v/>
      </c>
    </row>
    <row r="192">
      <c r="A192" s="4" t="inlineStr">
        <is>
          <t>72043</t>
        </is>
      </c>
      <c r="B192" s="5" t="inlineStr">
        <is>
          <t>Interactive LEGO Mario &amp; Standard Kart</t>
        </is>
      </c>
      <c r="C192" s="4" t="inlineStr">
        <is>
          <t>Mario</t>
        </is>
      </c>
      <c r="D192" s="8">
        <f>IFERROR(MINIFS('Dane dzienne'!E:E,'Dane dzienne'!B:B,A192),"-")</f>
        <v/>
      </c>
      <c r="E192" s="8">
        <f>IFERROR(ROUND(AVERAGEIF('Dane dzienne'!B:B,A192,'Dane dzienne'!E:E),2),"-")</f>
        <v/>
      </c>
      <c r="F192" s="4">
        <f>IFERROR(ROUND(AVERAGEIF('Dane dzienne'!B:B,A192,'Dane dzienne'!F:F),0),"-")</f>
        <v/>
      </c>
      <c r="G192" s="4">
        <f>IFERROR(MAXIFS('Dane dzienne'!G:G,'Dane dzienne'!B:B,A192),"-")</f>
        <v/>
      </c>
    </row>
    <row r="193">
      <c r="A193" s="6" t="inlineStr">
        <is>
          <t>72045</t>
        </is>
      </c>
      <c r="B193" s="7" t="inlineStr">
        <is>
          <t>Shy Guy &amp; P-Wing</t>
        </is>
      </c>
      <c r="C193" s="6" t="inlineStr">
        <is>
          <t>Mario</t>
        </is>
      </c>
      <c r="D193" s="9">
        <f>IFERROR(MINIFS('Dane dzienne'!E:E,'Dane dzienne'!B:B,A193),"-")</f>
        <v/>
      </c>
      <c r="E193" s="9">
        <f>IFERROR(ROUND(AVERAGEIF('Dane dzienne'!B:B,A193,'Dane dzienne'!E:E),2),"-")</f>
        <v/>
      </c>
      <c r="F193" s="6">
        <f>IFERROR(ROUND(AVERAGEIF('Dane dzienne'!B:B,A193,'Dane dzienne'!F:F),0),"-")</f>
        <v/>
      </c>
      <c r="G193" s="6">
        <f>IFERROR(MAXIFS('Dane dzienne'!G:G,'Dane dzienne'!B:B,A193),"-")</f>
        <v/>
      </c>
    </row>
    <row r="194">
      <c r="A194" s="4" t="inlineStr">
        <is>
          <t>11198</t>
        </is>
      </c>
      <c r="B194" s="5" t="inlineStr">
        <is>
          <t>Spin and Electro Dinosaur Vehicle Chase</t>
        </is>
      </c>
      <c r="C194" s="4" t="inlineStr">
        <is>
          <t>Marvel</t>
        </is>
      </c>
      <c r="D194" s="8">
        <f>IFERROR(MINIFS('Dane dzienne'!E:E,'Dane dzienne'!B:B,A194),"-")</f>
        <v/>
      </c>
      <c r="E194" s="8">
        <f>IFERROR(ROUND(AVERAGEIF('Dane dzienne'!B:B,A194,'Dane dzienne'!E:E),2),"-")</f>
        <v/>
      </c>
      <c r="F194" s="4">
        <f>IFERROR(ROUND(AVERAGEIF('Dane dzienne'!B:B,A194,'Dane dzienne'!F:F),0),"-")</f>
        <v/>
      </c>
      <c r="G194" s="4">
        <f>IFERROR(MAXIFS('Dane dzienne'!G:G,'Dane dzienne'!B:B,A194),"-")</f>
        <v/>
      </c>
    </row>
    <row r="195">
      <c r="A195" s="6" t="inlineStr">
        <is>
          <t>11200</t>
        </is>
      </c>
      <c r="B195" s="7" t="inlineStr">
        <is>
          <t>Spidey and Gobby's Raptor Battle at Tree House HQ</t>
        </is>
      </c>
      <c r="C195" s="6" t="inlineStr">
        <is>
          <t>Marvel</t>
        </is>
      </c>
      <c r="D195" s="9">
        <f>IFERROR(MINIFS('Dane dzienne'!E:E,'Dane dzienne'!B:B,A195),"-")</f>
        <v/>
      </c>
      <c r="E195" s="9">
        <f>IFERROR(ROUND(AVERAGEIF('Dane dzienne'!B:B,A195,'Dane dzienne'!E:E),2),"-")</f>
        <v/>
      </c>
      <c r="F195" s="6">
        <f>IFERROR(ROUND(AVERAGEIF('Dane dzienne'!B:B,A195,'Dane dzienne'!F:F),0),"-")</f>
        <v/>
      </c>
      <c r="G195" s="6">
        <f>IFERROR(MAXIFS('Dane dzienne'!G:G,'Dane dzienne'!B:B,A195),"-")</f>
        <v/>
      </c>
    </row>
    <row r="196">
      <c r="A196" s="4" t="inlineStr">
        <is>
          <t>11207</t>
        </is>
      </c>
      <c r="B196" s="5" t="inlineStr">
        <is>
          <t>Spidey: Underwater Vehicles</t>
        </is>
      </c>
      <c r="C196" s="4" t="inlineStr">
        <is>
          <t>Marvel</t>
        </is>
      </c>
      <c r="D196" s="8">
        <f>IFERROR(MINIFS('Dane dzienne'!E:E,'Dane dzienne'!B:B,A196),"-")</f>
        <v/>
      </c>
      <c r="E196" s="8">
        <f>IFERROR(ROUND(AVERAGEIF('Dane dzienne'!B:B,A196,'Dane dzienne'!E:E),2),"-")</f>
        <v/>
      </c>
      <c r="F196" s="4">
        <f>IFERROR(ROUND(AVERAGEIF('Dane dzienne'!B:B,A196,'Dane dzienne'!F:F),0),"-")</f>
        <v/>
      </c>
      <c r="G196" s="4">
        <f>IFERROR(MAXIFS('Dane dzienne'!G:G,'Dane dzienne'!B:B,A196),"-")</f>
        <v/>
      </c>
    </row>
    <row r="197">
      <c r="A197" s="6" t="inlineStr">
        <is>
          <t>30725</t>
        </is>
      </c>
      <c r="B197" s="7" t="inlineStr">
        <is>
          <t>Spider-Man vs. Anti-Venom Heist (Polybag)</t>
        </is>
      </c>
      <c r="C197" s="6" t="inlineStr">
        <is>
          <t>Marvel</t>
        </is>
      </c>
      <c r="D197" s="9">
        <f>IFERROR(MINIFS('Dane dzienne'!E:E,'Dane dzienne'!B:B,A197),"-")</f>
        <v/>
      </c>
      <c r="E197" s="9">
        <f>IFERROR(ROUND(AVERAGEIF('Dane dzienne'!B:B,A197,'Dane dzienne'!E:E),2),"-")</f>
        <v/>
      </c>
      <c r="F197" s="6">
        <f>IFERROR(ROUND(AVERAGEIF('Dane dzienne'!B:B,A197,'Dane dzienne'!F:F),0),"-")</f>
        <v/>
      </c>
      <c r="G197" s="6">
        <f>IFERROR(MAXIFS('Dane dzienne'!G:G,'Dane dzienne'!B:B,A197),"-")</f>
        <v/>
      </c>
    </row>
    <row r="198">
      <c r="A198" s="4" t="inlineStr">
        <is>
          <t>76294</t>
        </is>
      </c>
      <c r="B198" s="5" t="inlineStr">
        <is>
          <t>X-Men: The X-Mansion</t>
        </is>
      </c>
      <c r="C198" s="4" t="inlineStr">
        <is>
          <t>Marvel</t>
        </is>
      </c>
      <c r="D198" s="8">
        <f>IFERROR(MINIFS('Dane dzienne'!E:E,'Dane dzienne'!B:B,A198),"-")</f>
        <v/>
      </c>
      <c r="E198" s="8">
        <f>IFERROR(ROUND(AVERAGEIF('Dane dzienne'!B:B,A198,'Dane dzienne'!E:E),2),"-")</f>
        <v/>
      </c>
      <c r="F198" s="4">
        <f>IFERROR(ROUND(AVERAGEIF('Dane dzienne'!B:B,A198,'Dane dzienne'!F:F),0),"-")</f>
        <v/>
      </c>
      <c r="G198" s="4">
        <f>IFERROR(MAXIFS('Dane dzienne'!G:G,'Dane dzienne'!B:B,A198),"-")</f>
        <v/>
      </c>
    </row>
    <row r="199">
      <c r="A199" s="6" t="inlineStr">
        <is>
          <t>76307</t>
        </is>
      </c>
      <c r="B199" s="7" t="inlineStr">
        <is>
          <t>Iron Man Mech vs. Ultron</t>
        </is>
      </c>
      <c r="C199" s="6" t="inlineStr">
        <is>
          <t>Marvel</t>
        </is>
      </c>
      <c r="D199" s="9">
        <f>IFERROR(MINIFS('Dane dzienne'!E:E,'Dane dzienne'!B:B,A199),"-")</f>
        <v/>
      </c>
      <c r="E199" s="9">
        <f>IFERROR(ROUND(AVERAGEIF('Dane dzienne'!B:B,A199,'Dane dzienne'!E:E),2),"-")</f>
        <v/>
      </c>
      <c r="F199" s="6">
        <f>IFERROR(ROUND(AVERAGEIF('Dane dzienne'!B:B,A199,'Dane dzienne'!F:F),0),"-")</f>
        <v/>
      </c>
      <c r="G199" s="6">
        <f>IFERROR(MAXIFS('Dane dzienne'!G:G,'Dane dzienne'!B:B,A199),"-")</f>
        <v/>
      </c>
    </row>
    <row r="200">
      <c r="A200" s="4" t="inlineStr">
        <is>
          <t>76308</t>
        </is>
      </c>
      <c r="B200" s="5" t="inlineStr">
        <is>
          <t>Spider-Man Mech vs. Anti-Venom</t>
        </is>
      </c>
      <c r="C200" s="4" t="inlineStr">
        <is>
          <t>Marvel</t>
        </is>
      </c>
      <c r="D200" s="8">
        <f>IFERROR(MINIFS('Dane dzienne'!E:E,'Dane dzienne'!B:B,A200),"-")</f>
        <v/>
      </c>
      <c r="E200" s="8">
        <f>IFERROR(ROUND(AVERAGEIF('Dane dzienne'!B:B,A200,'Dane dzienne'!E:E),2),"-")</f>
        <v/>
      </c>
      <c r="F200" s="4">
        <f>IFERROR(ROUND(AVERAGEIF('Dane dzienne'!B:B,A200,'Dane dzienne'!F:F),0),"-")</f>
        <v/>
      </c>
      <c r="G200" s="4">
        <f>IFERROR(MAXIFS('Dane dzienne'!G:G,'Dane dzienne'!B:B,A200),"-")</f>
        <v/>
      </c>
    </row>
    <row r="201">
      <c r="A201" s="6" t="inlineStr">
        <is>
          <t>76309</t>
        </is>
      </c>
      <c r="B201" s="7" t="inlineStr">
        <is>
          <t>Spider-Man vs. Venom Muscle Car</t>
        </is>
      </c>
      <c r="C201" s="6" t="inlineStr">
        <is>
          <t>Marvel</t>
        </is>
      </c>
      <c r="D201" s="9">
        <f>IFERROR(MINIFS('Dane dzienne'!E:E,'Dane dzienne'!B:B,A201),"-")</f>
        <v/>
      </c>
      <c r="E201" s="9">
        <f>IFERROR(ROUND(AVERAGEIF('Dane dzienne'!B:B,A201,'Dane dzienne'!E:E),2),"-")</f>
        <v/>
      </c>
      <c r="F201" s="6">
        <f>IFERROR(ROUND(AVERAGEIF('Dane dzienne'!B:B,A201,'Dane dzienne'!F:F),0),"-")</f>
        <v/>
      </c>
      <c r="G201" s="6">
        <f>IFERROR(MAXIFS('Dane dzienne'!G:G,'Dane dzienne'!B:B,A201),"-")</f>
        <v/>
      </c>
    </row>
    <row r="202">
      <c r="A202" s="4" t="inlineStr">
        <is>
          <t>76313</t>
        </is>
      </c>
      <c r="B202" s="5" t="inlineStr">
        <is>
          <t>MARVEL Logo</t>
        </is>
      </c>
      <c r="C202" s="4" t="inlineStr">
        <is>
          <t>Marvel</t>
        </is>
      </c>
      <c r="D202" s="8">
        <f>IFERROR(MINIFS('Dane dzienne'!E:E,'Dane dzienne'!B:B,A202),"-")</f>
        <v/>
      </c>
      <c r="E202" s="8">
        <f>IFERROR(ROUND(AVERAGEIF('Dane dzienne'!B:B,A202,'Dane dzienne'!E:E),2),"-")</f>
        <v/>
      </c>
      <c r="F202" s="4">
        <f>IFERROR(ROUND(AVERAGEIF('Dane dzienne'!B:B,A202,'Dane dzienne'!F:F),0),"-")</f>
        <v/>
      </c>
      <c r="G202" s="4">
        <f>IFERROR(MAXIFS('Dane dzienne'!G:G,'Dane dzienne'!B:B,A202),"-")</f>
        <v/>
      </c>
    </row>
    <row r="203">
      <c r="A203" s="6" t="inlineStr">
        <is>
          <t>76315</t>
        </is>
      </c>
      <c r="B203" s="7" t="inlineStr">
        <is>
          <t>Iron Man's Laboratory: Hall of Armor</t>
        </is>
      </c>
      <c r="C203" s="6" t="inlineStr">
        <is>
          <t>Marvel</t>
        </is>
      </c>
      <c r="D203" s="9">
        <f>IFERROR(MINIFS('Dane dzienne'!E:E,'Dane dzienne'!B:B,A203),"-")</f>
        <v/>
      </c>
      <c r="E203" s="9">
        <f>IFERROR(ROUND(AVERAGEIF('Dane dzienne'!B:B,A203,'Dane dzienne'!E:E),2),"-")</f>
        <v/>
      </c>
      <c r="F203" s="6">
        <f>IFERROR(ROUND(AVERAGEIF('Dane dzienne'!B:B,A203,'Dane dzienne'!F:F),0),"-")</f>
        <v/>
      </c>
      <c r="G203" s="6">
        <f>IFERROR(MAXIFS('Dane dzienne'!G:G,'Dane dzienne'!B:B,A203),"-")</f>
        <v/>
      </c>
    </row>
    <row r="204">
      <c r="A204" s="4" t="inlineStr">
        <is>
          <t>76316</t>
        </is>
      </c>
      <c r="B204" s="5" t="inlineStr">
        <is>
          <t>Fantastic Four vs. Galactus Construction Figure</t>
        </is>
      </c>
      <c r="C204" s="4" t="inlineStr">
        <is>
          <t>Marvel</t>
        </is>
      </c>
      <c r="D204" s="8">
        <f>IFERROR(MINIFS('Dane dzienne'!E:E,'Dane dzienne'!B:B,A204),"-")</f>
        <v/>
      </c>
      <c r="E204" s="8">
        <f>IFERROR(ROUND(AVERAGEIF('Dane dzienne'!B:B,A204,'Dane dzienne'!E:E),2),"-")</f>
        <v/>
      </c>
      <c r="F204" s="4">
        <f>IFERROR(ROUND(AVERAGEIF('Dane dzienne'!B:B,A204,'Dane dzienne'!F:F),0),"-")</f>
        <v/>
      </c>
      <c r="G204" s="4">
        <f>IFERROR(MAXIFS('Dane dzienne'!G:G,'Dane dzienne'!B:B,A204),"-")</f>
        <v/>
      </c>
    </row>
    <row r="205">
      <c r="A205" s="6" t="inlineStr">
        <is>
          <t>76317</t>
        </is>
      </c>
      <c r="B205" s="7" t="inlineStr">
        <is>
          <t>Peter Parker's Apartment</t>
        </is>
      </c>
      <c r="C205" s="6" t="inlineStr">
        <is>
          <t>Marvel</t>
        </is>
      </c>
      <c r="D205" s="9">
        <f>IFERROR(MINIFS('Dane dzienne'!E:E,'Dane dzienne'!B:B,A205),"-")</f>
        <v/>
      </c>
      <c r="E205" s="9">
        <f>IFERROR(ROUND(AVERAGEIF('Dane dzienne'!B:B,A205,'Dane dzienne'!E:E),2),"-")</f>
        <v/>
      </c>
      <c r="F205" s="6">
        <f>IFERROR(ROUND(AVERAGEIF('Dane dzienne'!B:B,A205,'Dane dzienne'!F:F),0),"-")</f>
        <v/>
      </c>
      <c r="G205" s="6">
        <f>IFERROR(MAXIFS('Dane dzienne'!G:G,'Dane dzienne'!B:B,A205),"-")</f>
        <v/>
      </c>
    </row>
    <row r="206">
      <c r="A206" s="4" t="inlineStr">
        <is>
          <t>76319</t>
        </is>
      </c>
      <c r="B206" s="5" t="inlineStr">
        <is>
          <t>Captain America vs. Thanos</t>
        </is>
      </c>
      <c r="C206" s="4" t="inlineStr">
        <is>
          <t>Marvel</t>
        </is>
      </c>
      <c r="D206" s="8">
        <f>IFERROR(MINIFS('Dane dzienne'!E:E,'Dane dzienne'!B:B,A206),"-")</f>
        <v/>
      </c>
      <c r="E206" s="8">
        <f>IFERROR(ROUND(AVERAGEIF('Dane dzienne'!B:B,A206,'Dane dzienne'!E:E),2),"-")</f>
        <v/>
      </c>
      <c r="F206" s="4">
        <f>IFERROR(ROUND(AVERAGEIF('Dane dzienne'!B:B,A206,'Dane dzienne'!F:F),0),"-")</f>
        <v/>
      </c>
      <c r="G206" s="4">
        <f>IFERROR(MAXIFS('Dane dzienne'!G:G,'Dane dzienne'!B:B,A206),"-")</f>
        <v/>
      </c>
    </row>
    <row r="207">
      <c r="A207" s="6" t="inlineStr">
        <is>
          <t>76320</t>
        </is>
      </c>
      <c r="B207" s="7" t="inlineStr">
        <is>
          <t>Iron Man &amp; War Machine vs. Hammer Drones</t>
        </is>
      </c>
      <c r="C207" s="6" t="inlineStr">
        <is>
          <t>Marvel</t>
        </is>
      </c>
      <c r="D207" s="9">
        <f>IFERROR(MINIFS('Dane dzienne'!E:E,'Dane dzienne'!B:B,A207),"-")</f>
        <v/>
      </c>
      <c r="E207" s="9">
        <f>IFERROR(ROUND(AVERAGEIF('Dane dzienne'!B:B,A207,'Dane dzienne'!E:E),2),"-")</f>
        <v/>
      </c>
      <c r="F207" s="6">
        <f>IFERROR(ROUND(AVERAGEIF('Dane dzienne'!B:B,A207,'Dane dzienne'!F:F),0),"-")</f>
        <v/>
      </c>
      <c r="G207" s="6">
        <f>IFERROR(MAXIFS('Dane dzienne'!G:G,'Dane dzienne'!B:B,A207),"-")</f>
        <v/>
      </c>
    </row>
    <row r="208">
      <c r="A208" s="4" t="inlineStr">
        <is>
          <t>76321</t>
        </is>
      </c>
      <c r="B208" s="5" t="inlineStr">
        <is>
          <t>Spider-Man vs. Doc Ock Subway Train Scene</t>
        </is>
      </c>
      <c r="C208" s="4" t="inlineStr">
        <is>
          <t>Marvel</t>
        </is>
      </c>
      <c r="D208" s="8">
        <f>IFERROR(MINIFS('Dane dzienne'!E:E,'Dane dzienne'!B:B,A208),"-")</f>
        <v/>
      </c>
      <c r="E208" s="8">
        <f>IFERROR(ROUND(AVERAGEIF('Dane dzienne'!B:B,A208,'Dane dzienne'!E:E),2),"-")</f>
        <v/>
      </c>
      <c r="F208" s="4">
        <f>IFERROR(ROUND(AVERAGEIF('Dane dzienne'!B:B,A208,'Dane dzienne'!F:F),0),"-")</f>
        <v/>
      </c>
      <c r="G208" s="4">
        <f>IFERROR(MAXIFS('Dane dzienne'!G:G,'Dane dzienne'!B:B,A208),"-")</f>
        <v/>
      </c>
    </row>
    <row r="209">
      <c r="A209" s="6" t="inlineStr">
        <is>
          <t>76322</t>
        </is>
      </c>
      <c r="B209" s="7" t="inlineStr">
        <is>
          <t>Avengers: Endgame Thor vs. Chitauri</t>
        </is>
      </c>
      <c r="C209" s="6" t="inlineStr">
        <is>
          <t>Marvel</t>
        </is>
      </c>
      <c r="D209" s="9">
        <f>IFERROR(MINIFS('Dane dzienne'!E:E,'Dane dzienne'!B:B,A209),"-")</f>
        <v/>
      </c>
      <c r="E209" s="9">
        <f>IFERROR(ROUND(AVERAGEIF('Dane dzienne'!B:B,A209,'Dane dzienne'!E:E),2),"-")</f>
        <v/>
      </c>
      <c r="F209" s="6">
        <f>IFERROR(ROUND(AVERAGEIF('Dane dzienne'!B:B,A209,'Dane dzienne'!F:F),0),"-")</f>
        <v/>
      </c>
      <c r="G209" s="6">
        <f>IFERROR(MAXIFS('Dane dzienne'!G:G,'Dane dzienne'!B:B,A209),"-")</f>
        <v/>
      </c>
    </row>
    <row r="210">
      <c r="A210" s="4" t="inlineStr">
        <is>
          <t>76323</t>
        </is>
      </c>
      <c r="B210" s="5" t="inlineStr">
        <is>
          <t>Avengers: Endgame Final Battle</t>
        </is>
      </c>
      <c r="C210" s="4" t="inlineStr">
        <is>
          <t>Marvel</t>
        </is>
      </c>
      <c r="D210" s="8">
        <f>IFERROR(MINIFS('Dane dzienne'!E:E,'Dane dzienne'!B:B,A210),"-")</f>
        <v/>
      </c>
      <c r="E210" s="8">
        <f>IFERROR(ROUND(AVERAGEIF('Dane dzienne'!B:B,A210,'Dane dzienne'!E:E),2),"-")</f>
        <v/>
      </c>
      <c r="F210" s="4">
        <f>IFERROR(ROUND(AVERAGEIF('Dane dzienne'!B:B,A210,'Dane dzienne'!F:F),0),"-")</f>
        <v/>
      </c>
      <c r="G210" s="4">
        <f>IFERROR(MAXIFS('Dane dzienne'!G:G,'Dane dzienne'!B:B,A210),"-")</f>
        <v/>
      </c>
    </row>
    <row r="211">
      <c r="A211" s="6" t="inlineStr">
        <is>
          <t>76324</t>
        </is>
      </c>
      <c r="B211" s="7" t="inlineStr">
        <is>
          <t>Spider-Man vs. Oscorp</t>
        </is>
      </c>
      <c r="C211" s="6" t="inlineStr">
        <is>
          <t>Marvel</t>
        </is>
      </c>
      <c r="D211" s="9">
        <f>IFERROR(MINIFS('Dane dzienne'!E:E,'Dane dzienne'!B:B,A211),"-")</f>
        <v/>
      </c>
      <c r="E211" s="9">
        <f>IFERROR(ROUND(AVERAGEIF('Dane dzienne'!B:B,A211,'Dane dzienne'!E:E),2),"-")</f>
        <v/>
      </c>
      <c r="F211" s="6">
        <f>IFERROR(ROUND(AVERAGEIF('Dane dzienne'!B:B,A211,'Dane dzienne'!F:F),0),"-")</f>
        <v/>
      </c>
      <c r="G211" s="6">
        <f>IFERROR(MAXIFS('Dane dzienne'!G:G,'Dane dzienne'!B:B,A211),"-")</f>
        <v/>
      </c>
    </row>
    <row r="212">
      <c r="A212" s="4" t="inlineStr">
        <is>
          <t>76325</t>
        </is>
      </c>
      <c r="B212" s="5" t="inlineStr">
        <is>
          <t>Avengers: Age of Ultron Quinjet</t>
        </is>
      </c>
      <c r="C212" s="4" t="inlineStr">
        <is>
          <t>Marvel</t>
        </is>
      </c>
      <c r="D212" s="8">
        <f>IFERROR(MINIFS('Dane dzienne'!E:E,'Dane dzienne'!B:B,A212),"-")</f>
        <v/>
      </c>
      <c r="E212" s="8">
        <f>IFERROR(ROUND(AVERAGEIF('Dane dzienne'!B:B,A212,'Dane dzienne'!E:E),2),"-")</f>
        <v/>
      </c>
      <c r="F212" s="4">
        <f>IFERROR(ROUND(AVERAGEIF('Dane dzienne'!B:B,A212,'Dane dzienne'!F:F),0),"-")</f>
        <v/>
      </c>
      <c r="G212" s="4">
        <f>IFERROR(MAXIFS('Dane dzienne'!G:G,'Dane dzienne'!B:B,A212),"-")</f>
        <v/>
      </c>
    </row>
    <row r="213">
      <c r="A213" s="6" t="inlineStr">
        <is>
          <t>76326</t>
        </is>
      </c>
      <c r="B213" s="7" t="inlineStr">
        <is>
          <t>Iron Spider-Man Bust</t>
        </is>
      </c>
      <c r="C213" s="6" t="inlineStr">
        <is>
          <t>Marvel</t>
        </is>
      </c>
      <c r="D213" s="9">
        <f>IFERROR(MINIFS('Dane dzienne'!E:E,'Dane dzienne'!B:B,A213),"-")</f>
        <v/>
      </c>
      <c r="E213" s="9">
        <f>IFERROR(ROUND(AVERAGEIF('Dane dzienne'!B:B,A213,'Dane dzienne'!E:E),2),"-")</f>
        <v/>
      </c>
      <c r="F213" s="6">
        <f>IFERROR(ROUND(AVERAGEIF('Dane dzienne'!B:B,A213,'Dane dzienne'!F:F),0),"-")</f>
        <v/>
      </c>
      <c r="G213" s="6">
        <f>IFERROR(MAXIFS('Dane dzienne'!G:G,'Dane dzienne'!B:B,A213),"-")</f>
        <v/>
      </c>
    </row>
    <row r="214">
      <c r="A214" s="4" t="inlineStr">
        <is>
          <t>76327</t>
        </is>
      </c>
      <c r="B214" s="5" t="inlineStr">
        <is>
          <t>Iron Man MK4 Bust</t>
        </is>
      </c>
      <c r="C214" s="4" t="inlineStr">
        <is>
          <t>Marvel</t>
        </is>
      </c>
      <c r="D214" s="8">
        <f>IFERROR(MINIFS('Dane dzienne'!E:E,'Dane dzienne'!B:B,A214),"-")</f>
        <v/>
      </c>
      <c r="E214" s="8">
        <f>IFERROR(ROUND(AVERAGEIF('Dane dzienne'!B:B,A214,'Dane dzienne'!E:E),2),"-")</f>
        <v/>
      </c>
      <c r="F214" s="4">
        <f>IFERROR(ROUND(AVERAGEIF('Dane dzienne'!B:B,A214,'Dane dzienne'!F:F),0),"-")</f>
        <v/>
      </c>
      <c r="G214" s="4">
        <f>IFERROR(MAXIFS('Dane dzienne'!G:G,'Dane dzienne'!B:B,A214),"-")</f>
        <v/>
      </c>
    </row>
    <row r="215">
      <c r="A215" s="6" t="inlineStr">
        <is>
          <t>76329</t>
        </is>
      </c>
      <c r="B215" s="7" t="inlineStr">
        <is>
          <t>Miles Morales' Mask</t>
        </is>
      </c>
      <c r="C215" s="6" t="inlineStr">
        <is>
          <t>Marvel</t>
        </is>
      </c>
      <c r="D215" s="9">
        <f>IFERROR(MINIFS('Dane dzienne'!E:E,'Dane dzienne'!B:B,A215),"-")</f>
        <v/>
      </c>
      <c r="E215" s="9">
        <f>IFERROR(ROUND(AVERAGEIF('Dane dzienne'!B:B,A215,'Dane dzienne'!E:E),2),"-")</f>
        <v/>
      </c>
      <c r="F215" s="6">
        <f>IFERROR(ROUND(AVERAGEIF('Dane dzienne'!B:B,A215,'Dane dzienne'!F:F),0),"-")</f>
        <v/>
      </c>
      <c r="G215" s="6">
        <f>IFERROR(MAXIFS('Dane dzienne'!G:G,'Dane dzienne'!B:B,A215),"-")</f>
        <v/>
      </c>
    </row>
    <row r="216">
      <c r="A216" s="4" t="inlineStr">
        <is>
          <t>76340</t>
        </is>
      </c>
      <c r="B216" s="5" t="inlineStr">
        <is>
          <t>LEGO Marvel Advent Calendar 2026</t>
        </is>
      </c>
      <c r="C216" s="4" t="inlineStr">
        <is>
          <t>Marvel</t>
        </is>
      </c>
      <c r="D216" s="8">
        <f>IFERROR(MINIFS('Dane dzienne'!E:E,'Dane dzienne'!B:B,A216),"-")</f>
        <v/>
      </c>
      <c r="E216" s="8">
        <f>IFERROR(ROUND(AVERAGEIF('Dane dzienne'!B:B,A216,'Dane dzienne'!E:E),2),"-")</f>
        <v/>
      </c>
      <c r="F216" s="4">
        <f>IFERROR(ROUND(AVERAGEIF('Dane dzienne'!B:B,A216,'Dane dzienne'!F:F),0),"-")</f>
        <v/>
      </c>
      <c r="G216" s="4">
        <f>IFERROR(MAXIFS('Dane dzienne'!G:G,'Dane dzienne'!B:B,A216),"-")</f>
        <v/>
      </c>
    </row>
    <row r="217">
      <c r="A217" s="6" t="inlineStr">
        <is>
          <t>21266</t>
        </is>
      </c>
      <c r="B217" s="7" t="inlineStr">
        <is>
          <t>The Nether Lava Battle</t>
        </is>
      </c>
      <c r="C217" s="6" t="inlineStr">
        <is>
          <t>Minecraft</t>
        </is>
      </c>
      <c r="D217" s="9">
        <f>IFERROR(MINIFS('Dane dzienne'!E:E,'Dane dzienne'!B:B,A217),"-")</f>
        <v/>
      </c>
      <c r="E217" s="9">
        <f>IFERROR(ROUND(AVERAGEIF('Dane dzienne'!B:B,A217,'Dane dzienne'!E:E),2),"-")</f>
        <v/>
      </c>
      <c r="F217" s="6">
        <f>IFERROR(ROUND(AVERAGEIF('Dane dzienne'!B:B,A217,'Dane dzienne'!F:F),0),"-")</f>
        <v/>
      </c>
      <c r="G217" s="6">
        <f>IFERROR(MAXIFS('Dane dzienne'!G:G,'Dane dzienne'!B:B,A217),"-")</f>
        <v/>
      </c>
    </row>
    <row r="218">
      <c r="A218" s="4" t="inlineStr">
        <is>
          <t>21267</t>
        </is>
      </c>
      <c r="B218" s="5" t="inlineStr">
        <is>
          <t>The Illager Desert Patrol</t>
        </is>
      </c>
      <c r="C218" s="4" t="inlineStr">
        <is>
          <t>Minecraft</t>
        </is>
      </c>
      <c r="D218" s="8">
        <f>IFERROR(MINIFS('Dane dzienne'!E:E,'Dane dzienne'!B:B,A218),"-")</f>
        <v/>
      </c>
      <c r="E218" s="8">
        <f>IFERROR(ROUND(AVERAGEIF('Dane dzienne'!B:B,A218,'Dane dzienne'!E:E),2),"-")</f>
        <v/>
      </c>
      <c r="F218" s="4">
        <f>IFERROR(ROUND(AVERAGEIF('Dane dzienne'!B:B,A218,'Dane dzienne'!F:F),0),"-")</f>
        <v/>
      </c>
      <c r="G218" s="4">
        <f>IFERROR(MAXIFS('Dane dzienne'!G:G,'Dane dzienne'!B:B,A218),"-")</f>
        <v/>
      </c>
    </row>
    <row r="219">
      <c r="A219" s="6" t="inlineStr">
        <is>
          <t>21268</t>
        </is>
      </c>
      <c r="B219" s="7" t="inlineStr">
        <is>
          <t>The Baby Pig House</t>
        </is>
      </c>
      <c r="C219" s="6" t="inlineStr">
        <is>
          <t>Minecraft</t>
        </is>
      </c>
      <c r="D219" s="9">
        <f>IFERROR(MINIFS('Dane dzienne'!E:E,'Dane dzienne'!B:B,A219),"-")</f>
        <v/>
      </c>
      <c r="E219" s="9">
        <f>IFERROR(ROUND(AVERAGEIF('Dane dzienne'!B:B,A219,'Dane dzienne'!E:E),2),"-")</f>
        <v/>
      </c>
      <c r="F219" s="6">
        <f>IFERROR(ROUND(AVERAGEIF('Dane dzienne'!B:B,A219,'Dane dzienne'!F:F),0),"-")</f>
        <v/>
      </c>
      <c r="G219" s="6">
        <f>IFERROR(MAXIFS('Dane dzienne'!G:G,'Dane dzienne'!B:B,A219),"-")</f>
        <v/>
      </c>
    </row>
    <row r="220">
      <c r="A220" s="4" t="inlineStr">
        <is>
          <t>21269</t>
        </is>
      </c>
      <c r="B220" s="5" t="inlineStr">
        <is>
          <t>The Armadillo Mine Expedition</t>
        </is>
      </c>
      <c r="C220" s="4" t="inlineStr">
        <is>
          <t>Minecraft</t>
        </is>
      </c>
      <c r="D220" s="8">
        <f>IFERROR(MINIFS('Dane dzienne'!E:E,'Dane dzienne'!B:B,A220),"-")</f>
        <v/>
      </c>
      <c r="E220" s="8">
        <f>IFERROR(ROUND(AVERAGEIF('Dane dzienne'!B:B,A220,'Dane dzienne'!E:E),2),"-")</f>
        <v/>
      </c>
      <c r="F220" s="4">
        <f>IFERROR(ROUND(AVERAGEIF('Dane dzienne'!B:B,A220,'Dane dzienne'!F:F),0),"-")</f>
        <v/>
      </c>
      <c r="G220" s="4">
        <f>IFERROR(MAXIFS('Dane dzienne'!G:G,'Dane dzienne'!B:B,A220),"-")</f>
        <v/>
      </c>
    </row>
    <row r="221">
      <c r="A221" s="6" t="inlineStr">
        <is>
          <t>21270</t>
        </is>
      </c>
      <c r="B221" s="7" t="inlineStr">
        <is>
          <t>The Mooshroom House</t>
        </is>
      </c>
      <c r="C221" s="6" t="inlineStr">
        <is>
          <t>Minecraft</t>
        </is>
      </c>
      <c r="D221" s="9">
        <f>IFERROR(MINIFS('Dane dzienne'!E:E,'Dane dzienne'!B:B,A221),"-")</f>
        <v/>
      </c>
      <c r="E221" s="9">
        <f>IFERROR(ROUND(AVERAGEIF('Dane dzienne'!B:B,A221,'Dane dzienne'!E:E),2),"-")</f>
        <v/>
      </c>
      <c r="F221" s="6">
        <f>IFERROR(ROUND(AVERAGEIF('Dane dzienne'!B:B,A221,'Dane dzienne'!F:F),0),"-")</f>
        <v/>
      </c>
      <c r="G221" s="6">
        <f>IFERROR(MAXIFS('Dane dzienne'!G:G,'Dane dzienne'!B:B,A221),"-")</f>
        <v/>
      </c>
    </row>
    <row r="222">
      <c r="A222" s="4" t="inlineStr">
        <is>
          <t>21272</t>
        </is>
      </c>
      <c r="B222" s="5" t="inlineStr">
        <is>
          <t>Woodland Mansion Fighting Ring</t>
        </is>
      </c>
      <c r="C222" s="4" t="inlineStr">
        <is>
          <t>Minecraft</t>
        </is>
      </c>
      <c r="D222" s="8">
        <f>IFERROR(MINIFS('Dane dzienne'!E:E,'Dane dzienne'!B:B,A222),"-")</f>
        <v/>
      </c>
      <c r="E222" s="8">
        <f>IFERROR(ROUND(AVERAGEIF('Dane dzienne'!B:B,A222,'Dane dzienne'!E:E),2),"-")</f>
        <v/>
      </c>
      <c r="F222" s="4">
        <f>IFERROR(ROUND(AVERAGEIF('Dane dzienne'!B:B,A222,'Dane dzienne'!F:F),0),"-")</f>
        <v/>
      </c>
      <c r="G222" s="4">
        <f>IFERROR(MAXIFS('Dane dzienne'!G:G,'Dane dzienne'!B:B,A222),"-")</f>
        <v/>
      </c>
    </row>
    <row r="223">
      <c r="A223" s="6" t="inlineStr">
        <is>
          <t>21273</t>
        </is>
      </c>
      <c r="B223" s="7" t="inlineStr">
        <is>
          <t>The Ghast Balloon Village Attack</t>
        </is>
      </c>
      <c r="C223" s="6" t="inlineStr">
        <is>
          <t>Minecraft</t>
        </is>
      </c>
      <c r="D223" s="9">
        <f>IFERROR(MINIFS('Dane dzienne'!E:E,'Dane dzienne'!B:B,A223),"-")</f>
        <v/>
      </c>
      <c r="E223" s="9">
        <f>IFERROR(ROUND(AVERAGEIF('Dane dzienne'!B:B,A223,'Dane dzienne'!E:E),2),"-")</f>
        <v/>
      </c>
      <c r="F223" s="6">
        <f>IFERROR(ROUND(AVERAGEIF('Dane dzienne'!B:B,A223,'Dane dzienne'!F:F),0),"-")</f>
        <v/>
      </c>
      <c r="G223" s="6">
        <f>IFERROR(MAXIFS('Dane dzienne'!G:G,'Dane dzienne'!B:B,A223),"-")</f>
        <v/>
      </c>
    </row>
    <row r="224">
      <c r="A224" s="4" t="inlineStr">
        <is>
          <t>21274</t>
        </is>
      </c>
      <c r="B224" s="5" t="inlineStr">
        <is>
          <t>The Warden Encounter</t>
        </is>
      </c>
      <c r="C224" s="4" t="inlineStr">
        <is>
          <t>Minecraft</t>
        </is>
      </c>
      <c r="D224" s="8">
        <f>IFERROR(MINIFS('Dane dzienne'!E:E,'Dane dzienne'!B:B,A224),"-")</f>
        <v/>
      </c>
      <c r="E224" s="8">
        <f>IFERROR(ROUND(AVERAGEIF('Dane dzienne'!B:B,A224,'Dane dzienne'!E:E),2),"-")</f>
        <v/>
      </c>
      <c r="F224" s="4">
        <f>IFERROR(ROUND(AVERAGEIF('Dane dzienne'!B:B,A224,'Dane dzienne'!F:F),0),"-")</f>
        <v/>
      </c>
      <c r="G224" s="4">
        <f>IFERROR(MAXIFS('Dane dzienne'!G:G,'Dane dzienne'!B:B,A224),"-")</f>
        <v/>
      </c>
    </row>
    <row r="225">
      <c r="A225" s="6" t="inlineStr">
        <is>
          <t>21275</t>
        </is>
      </c>
      <c r="B225" s="7" t="inlineStr">
        <is>
          <t>The TNT Jungle House</t>
        </is>
      </c>
      <c r="C225" s="6" t="inlineStr">
        <is>
          <t>Minecraft</t>
        </is>
      </c>
      <c r="D225" s="9">
        <f>IFERROR(MINIFS('Dane dzienne'!E:E,'Dane dzienne'!B:B,A225),"-")</f>
        <v/>
      </c>
      <c r="E225" s="9">
        <f>IFERROR(ROUND(AVERAGEIF('Dane dzienne'!B:B,A225,'Dane dzienne'!E:E),2),"-")</f>
        <v/>
      </c>
      <c r="F225" s="6">
        <f>IFERROR(ROUND(AVERAGEIF('Dane dzienne'!B:B,A225,'Dane dzienne'!F:F),0),"-")</f>
        <v/>
      </c>
      <c r="G225" s="6">
        <f>IFERROR(MAXIFS('Dane dzienne'!G:G,'Dane dzienne'!B:B,A225),"-")</f>
        <v/>
      </c>
    </row>
    <row r="226">
      <c r="A226" s="4" t="inlineStr">
        <is>
          <t>21277</t>
        </is>
      </c>
      <c r="B226" s="5" t="inlineStr">
        <is>
          <t>The Pickaxe Mine</t>
        </is>
      </c>
      <c r="C226" s="4" t="inlineStr">
        <is>
          <t>Minecraft</t>
        </is>
      </c>
      <c r="D226" s="8">
        <f>IFERROR(MINIFS('Dane dzienne'!E:E,'Dane dzienne'!B:B,A226),"-")</f>
        <v/>
      </c>
      <c r="E226" s="8">
        <f>IFERROR(ROUND(AVERAGEIF('Dane dzienne'!B:B,A226,'Dane dzienne'!E:E),2),"-")</f>
        <v/>
      </c>
      <c r="F226" s="4">
        <f>IFERROR(ROUND(AVERAGEIF('Dane dzienne'!B:B,A226,'Dane dzienne'!F:F),0),"-")</f>
        <v/>
      </c>
      <c r="G226" s="4">
        <f>IFERROR(MAXIFS('Dane dzienne'!G:G,'Dane dzienne'!B:B,A226),"-")</f>
        <v/>
      </c>
    </row>
    <row r="227">
      <c r="A227" s="6" t="inlineStr">
        <is>
          <t>21278</t>
        </is>
      </c>
      <c r="B227" s="7" t="inlineStr">
        <is>
          <t>The Pillager Outpost and Ravager</t>
        </is>
      </c>
      <c r="C227" s="6" t="inlineStr">
        <is>
          <t>Minecraft</t>
        </is>
      </c>
      <c r="D227" s="9">
        <f>IFERROR(MINIFS('Dane dzienne'!E:E,'Dane dzienne'!B:B,A227),"-")</f>
        <v/>
      </c>
      <c r="E227" s="9">
        <f>IFERROR(ROUND(AVERAGEIF('Dane dzienne'!B:B,A227,'Dane dzienne'!E:E),2),"-")</f>
        <v/>
      </c>
      <c r="F227" s="6">
        <f>IFERROR(ROUND(AVERAGEIF('Dane dzienne'!B:B,A227,'Dane dzienne'!F:F),0),"-")</f>
        <v/>
      </c>
      <c r="G227" s="6">
        <f>IFERROR(MAXIFS('Dane dzienne'!G:G,'Dane dzienne'!B:B,A227),"-")</f>
        <v/>
      </c>
    </row>
    <row r="228">
      <c r="A228" s="4" t="inlineStr">
        <is>
          <t>21279</t>
        </is>
      </c>
      <c r="B228" s="5" t="inlineStr">
        <is>
          <t>The Enderman Tower</t>
        </is>
      </c>
      <c r="C228" s="4" t="inlineStr">
        <is>
          <t>Minecraft</t>
        </is>
      </c>
      <c r="D228" s="8">
        <f>IFERROR(MINIFS('Dane dzienne'!E:E,'Dane dzienne'!B:B,A228),"-")</f>
        <v/>
      </c>
      <c r="E228" s="8">
        <f>IFERROR(ROUND(AVERAGEIF('Dane dzienne'!B:B,A228,'Dane dzienne'!E:E),2),"-")</f>
        <v/>
      </c>
      <c r="F228" s="4">
        <f>IFERROR(ROUND(AVERAGEIF('Dane dzienne'!B:B,A228,'Dane dzienne'!F:F),0),"-")</f>
        <v/>
      </c>
      <c r="G228" s="4">
        <f>IFERROR(MAXIFS('Dane dzienne'!G:G,'Dane dzienne'!B:B,A228),"-")</f>
        <v/>
      </c>
    </row>
    <row r="229">
      <c r="A229" s="6" t="inlineStr">
        <is>
          <t>21282</t>
        </is>
      </c>
      <c r="B229" s="7" t="inlineStr">
        <is>
          <t>The Parrot Houses</t>
        </is>
      </c>
      <c r="C229" s="6" t="inlineStr">
        <is>
          <t>Minecraft</t>
        </is>
      </c>
      <c r="D229" s="9">
        <f>IFERROR(MINIFS('Dane dzienne'!E:E,'Dane dzienne'!B:B,A229),"-")</f>
        <v/>
      </c>
      <c r="E229" s="9">
        <f>IFERROR(ROUND(AVERAGEIF('Dane dzienne'!B:B,A229,'Dane dzienne'!E:E),2),"-")</f>
        <v/>
      </c>
      <c r="F229" s="6">
        <f>IFERROR(ROUND(AVERAGEIF('Dane dzienne'!B:B,A229,'Dane dzienne'!F:F),0),"-")</f>
        <v/>
      </c>
      <c r="G229" s="6">
        <f>IFERROR(MAXIFS('Dane dzienne'!G:G,'Dane dzienne'!B:B,A229),"-")</f>
        <v/>
      </c>
    </row>
    <row r="230">
      <c r="A230" s="4" t="inlineStr">
        <is>
          <t>21584</t>
        </is>
      </c>
      <c r="B230" s="5" t="inlineStr">
        <is>
          <t>Nether &amp; End Portal Journey</t>
        </is>
      </c>
      <c r="C230" s="4" t="inlineStr">
        <is>
          <t>Minecraft</t>
        </is>
      </c>
      <c r="D230" s="8">
        <f>IFERROR(MINIFS('Dane dzienne'!E:E,'Dane dzienne'!B:B,A230),"-")</f>
        <v/>
      </c>
      <c r="E230" s="8">
        <f>IFERROR(ROUND(AVERAGEIF('Dane dzienne'!B:B,A230,'Dane dzienne'!E:E),2),"-")</f>
        <v/>
      </c>
      <c r="F230" s="4">
        <f>IFERROR(ROUND(AVERAGEIF('Dane dzienne'!B:B,A230,'Dane dzienne'!F:F),0),"-")</f>
        <v/>
      </c>
      <c r="G230" s="4">
        <f>IFERROR(MAXIFS('Dane dzienne'!G:G,'Dane dzienne'!B:B,A230),"-")</f>
        <v/>
      </c>
    </row>
    <row r="231">
      <c r="A231" s="6" t="inlineStr">
        <is>
          <t>30732</t>
        </is>
      </c>
      <c r="B231" s="7" t="inlineStr">
        <is>
          <t>Alex's Campfire Conflict (Polybag)</t>
        </is>
      </c>
      <c r="C231" s="6" t="inlineStr">
        <is>
          <t>Minecraft</t>
        </is>
      </c>
      <c r="D231" s="9">
        <f>IFERROR(MINIFS('Dane dzienne'!E:E,'Dane dzienne'!B:B,A231),"-")</f>
        <v/>
      </c>
      <c r="E231" s="9">
        <f>IFERROR(ROUND(AVERAGEIF('Dane dzienne'!B:B,A231,'Dane dzienne'!E:E),2),"-")</f>
        <v/>
      </c>
      <c r="F231" s="6">
        <f>IFERROR(ROUND(AVERAGEIF('Dane dzienne'!B:B,A231,'Dane dzienne'!F:F),0),"-")</f>
        <v/>
      </c>
      <c r="G231" s="6">
        <f>IFERROR(MAXIFS('Dane dzienne'!G:G,'Dane dzienne'!B:B,A231),"-")</f>
        <v/>
      </c>
    </row>
    <row r="232">
      <c r="A232" s="4" t="inlineStr">
        <is>
          <t>40179</t>
        </is>
      </c>
      <c r="B232" s="5" t="inlineStr">
        <is>
          <t>Personalised Mosaic Portrait</t>
        </is>
      </c>
      <c r="C232" s="4" t="inlineStr">
        <is>
          <t>Miscellaneous</t>
        </is>
      </c>
      <c r="D232" s="8">
        <f>IFERROR(MINIFS('Dane dzienne'!E:E,'Dane dzienne'!B:B,A232),"-")</f>
        <v/>
      </c>
      <c r="E232" s="8">
        <f>IFERROR(ROUND(AVERAGEIF('Dane dzienne'!B:B,A232,'Dane dzienne'!E:E),2),"-")</f>
        <v/>
      </c>
      <c r="F232" s="4">
        <f>IFERROR(ROUND(AVERAGEIF('Dane dzienne'!B:B,A232,'Dane dzienne'!F:F),0),"-")</f>
        <v/>
      </c>
      <c r="G232" s="4">
        <f>IFERROR(MAXIFS('Dane dzienne'!G:G,'Dane dzienne'!B:B,A232),"-")</f>
        <v/>
      </c>
    </row>
    <row r="233">
      <c r="A233" s="6" t="inlineStr">
        <is>
          <t>40504</t>
        </is>
      </c>
      <c r="B233" s="7" t="inlineStr">
        <is>
          <t>A Minifigure Tribute</t>
        </is>
      </c>
      <c r="C233" s="6" t="inlineStr">
        <is>
          <t>Miscellaneous</t>
        </is>
      </c>
      <c r="D233" s="9">
        <f>IFERROR(MINIFS('Dane dzienne'!E:E,'Dane dzienne'!B:B,A233),"-")</f>
        <v/>
      </c>
      <c r="E233" s="9">
        <f>IFERROR(ROUND(AVERAGEIF('Dane dzienne'!B:B,A233,'Dane dzienne'!E:E),2),"-")</f>
        <v/>
      </c>
      <c r="F233" s="6">
        <f>IFERROR(ROUND(AVERAGEIF('Dane dzienne'!B:B,A233,'Dane dzienne'!F:F),0),"-")</f>
        <v/>
      </c>
      <c r="G233" s="6">
        <f>IFERROR(MAXIFS('Dane dzienne'!G:G,'Dane dzienne'!B:B,A233),"-")</f>
        <v/>
      </c>
    </row>
    <row r="234">
      <c r="A234" s="4" t="inlineStr">
        <is>
          <t>40743</t>
        </is>
      </c>
      <c r="B234" s="5" t="inlineStr">
        <is>
          <t>Christmas Table Decoration</t>
        </is>
      </c>
      <c r="C234" s="4" t="inlineStr">
        <is>
          <t>Miscellaneous</t>
        </is>
      </c>
      <c r="D234" s="8">
        <f>IFERROR(MINIFS('Dane dzienne'!E:E,'Dane dzienne'!B:B,A234),"-")</f>
        <v/>
      </c>
      <c r="E234" s="8">
        <f>IFERROR(ROUND(AVERAGEIF('Dane dzienne'!B:B,A234,'Dane dzienne'!E:E),2),"-")</f>
        <v/>
      </c>
      <c r="F234" s="4">
        <f>IFERROR(ROUND(AVERAGEIF('Dane dzienne'!B:B,A234,'Dane dzienne'!F:F),0),"-")</f>
        <v/>
      </c>
      <c r="G234" s="4">
        <f>IFERROR(MAXIFS('Dane dzienne'!G:G,'Dane dzienne'!B:B,A234),"-")</f>
        <v/>
      </c>
    </row>
    <row r="235">
      <c r="A235" s="6" t="inlineStr">
        <is>
          <t>40805</t>
        </is>
      </c>
      <c r="B235" s="7" t="inlineStr">
        <is>
          <t>Arcade Machine</t>
        </is>
      </c>
      <c r="C235" s="6" t="inlineStr">
        <is>
          <t>Miscellaneous</t>
        </is>
      </c>
      <c r="D235" s="9">
        <f>IFERROR(MINIFS('Dane dzienne'!E:E,'Dane dzienne'!B:B,A235),"-")</f>
        <v/>
      </c>
      <c r="E235" s="9">
        <f>IFERROR(ROUND(AVERAGEIF('Dane dzienne'!B:B,A235,'Dane dzienne'!E:E),2),"-")</f>
        <v/>
      </c>
      <c r="F235" s="6">
        <f>IFERROR(ROUND(AVERAGEIF('Dane dzienne'!B:B,A235,'Dane dzienne'!F:F),0),"-")</f>
        <v/>
      </c>
      <c r="G235" s="6">
        <f>IFERROR(MAXIFS('Dane dzienne'!G:G,'Dane dzienne'!B:B,A235),"-")</f>
        <v/>
      </c>
    </row>
    <row r="236">
      <c r="A236" s="4" t="inlineStr">
        <is>
          <t>40807</t>
        </is>
      </c>
      <c r="B236" s="5" t="inlineStr">
        <is>
          <t>Birthday Numbers</t>
        </is>
      </c>
      <c r="C236" s="4" t="inlineStr">
        <is>
          <t>Miscellaneous</t>
        </is>
      </c>
      <c r="D236" s="8">
        <f>IFERROR(MINIFS('Dane dzienne'!E:E,'Dane dzienne'!B:B,A236),"-")</f>
        <v/>
      </c>
      <c r="E236" s="8">
        <f>IFERROR(ROUND(AVERAGEIF('Dane dzienne'!B:B,A236,'Dane dzienne'!E:E),2),"-")</f>
        <v/>
      </c>
      <c r="F236" s="4">
        <f>IFERROR(ROUND(AVERAGEIF('Dane dzienne'!B:B,A236,'Dane dzienne'!F:F),0),"-")</f>
        <v/>
      </c>
      <c r="G236" s="4">
        <f>IFERROR(MAXIFS('Dane dzienne'!G:G,'Dane dzienne'!B:B,A236),"-")</f>
        <v/>
      </c>
    </row>
    <row r="237">
      <c r="A237" s="6" t="inlineStr">
        <is>
          <t>40808</t>
        </is>
      </c>
      <c r="B237" s="7" t="inlineStr">
        <is>
          <t>Easter Bunny And Chick Egg Hunt</t>
        </is>
      </c>
      <c r="C237" s="6" t="inlineStr">
        <is>
          <t>Miscellaneous</t>
        </is>
      </c>
      <c r="D237" s="9">
        <f>IFERROR(MINIFS('Dane dzienne'!E:E,'Dane dzienne'!B:B,A237),"-")</f>
        <v/>
      </c>
      <c r="E237" s="9">
        <f>IFERROR(ROUND(AVERAGEIF('Dane dzienne'!B:B,A237,'Dane dzienne'!E:E),2),"-")</f>
        <v/>
      </c>
      <c r="F237" s="6">
        <f>IFERROR(ROUND(AVERAGEIF('Dane dzienne'!B:B,A237,'Dane dzienne'!F:F),0),"-")</f>
        <v/>
      </c>
      <c r="G237" s="6">
        <f>IFERROR(MAXIFS('Dane dzienne'!G:G,'Dane dzienne'!B:B,A237),"-")</f>
        <v/>
      </c>
    </row>
    <row r="238">
      <c r="A238" s="4" t="inlineStr">
        <is>
          <t>40812</t>
        </is>
      </c>
      <c r="B238" s="5" t="inlineStr">
        <is>
          <t>Snowman Ornaments</t>
        </is>
      </c>
      <c r="C238" s="4" t="inlineStr">
        <is>
          <t>Miscellaneous</t>
        </is>
      </c>
      <c r="D238" s="8">
        <f>IFERROR(MINIFS('Dane dzienne'!E:E,'Dane dzienne'!B:B,A238),"-")</f>
        <v/>
      </c>
      <c r="E238" s="8">
        <f>IFERROR(ROUND(AVERAGEIF('Dane dzienne'!B:B,A238,'Dane dzienne'!E:E),2),"-")</f>
        <v/>
      </c>
      <c r="F238" s="4">
        <f>IFERROR(ROUND(AVERAGEIF('Dane dzienne'!B:B,A238,'Dane dzienne'!F:F),0),"-")</f>
        <v/>
      </c>
      <c r="G238" s="4">
        <f>IFERROR(MAXIFS('Dane dzienne'!G:G,'Dane dzienne'!B:B,A238),"-")</f>
        <v/>
      </c>
    </row>
    <row r="239">
      <c r="A239" s="6" t="inlineStr">
        <is>
          <t>40814</t>
        </is>
      </c>
      <c r="B239" s="7" t="inlineStr">
        <is>
          <t>Baby Elephant in the Sky</t>
        </is>
      </c>
      <c r="C239" s="6" t="inlineStr">
        <is>
          <t>Miscellaneous</t>
        </is>
      </c>
      <c r="D239" s="9">
        <f>IFERROR(MINIFS('Dane dzienne'!E:E,'Dane dzienne'!B:B,A239),"-")</f>
        <v/>
      </c>
      <c r="E239" s="9">
        <f>IFERROR(ROUND(AVERAGEIF('Dane dzienne'!B:B,A239,'Dane dzienne'!E:E),2),"-")</f>
        <v/>
      </c>
      <c r="F239" s="6">
        <f>IFERROR(ROUND(AVERAGEIF('Dane dzienne'!B:B,A239,'Dane dzienne'!F:F),0),"-")</f>
        <v/>
      </c>
      <c r="G239" s="6">
        <f>IFERROR(MAXIFS('Dane dzienne'!G:G,'Dane dzienne'!B:B,A239),"-")</f>
        <v/>
      </c>
    </row>
    <row r="240">
      <c r="A240" s="4" t="inlineStr">
        <is>
          <t>40815</t>
        </is>
      </c>
      <c r="B240" s="5" t="inlineStr">
        <is>
          <t>Birthday Party Cake</t>
        </is>
      </c>
      <c r="C240" s="4" t="inlineStr">
        <is>
          <t>Miscellaneous</t>
        </is>
      </c>
      <c r="D240" s="8">
        <f>IFERROR(MINIFS('Dane dzienne'!E:E,'Dane dzienne'!B:B,A240),"-")</f>
        <v/>
      </c>
      <c r="E240" s="8">
        <f>IFERROR(ROUND(AVERAGEIF('Dane dzienne'!B:B,A240,'Dane dzienne'!E:E),2),"-")</f>
        <v/>
      </c>
      <c r="F240" s="4">
        <f>IFERROR(ROUND(AVERAGEIF('Dane dzienne'!B:B,A240,'Dane dzienne'!F:F),0),"-")</f>
        <v/>
      </c>
      <c r="G240" s="4">
        <f>IFERROR(MAXIFS('Dane dzienne'!G:G,'Dane dzienne'!B:B,A240),"-")</f>
        <v/>
      </c>
    </row>
    <row r="241">
      <c r="A241" s="6" t="inlineStr">
        <is>
          <t>40816</t>
        </is>
      </c>
      <c r="B241" s="7" t="inlineStr">
        <is>
          <t>Decorative Easter Egg</t>
        </is>
      </c>
      <c r="C241" s="6" t="inlineStr">
        <is>
          <t>Miscellaneous</t>
        </is>
      </c>
      <c r="D241" s="9">
        <f>IFERROR(MINIFS('Dane dzienne'!E:E,'Dane dzienne'!B:B,A241),"-")</f>
        <v/>
      </c>
      <c r="E241" s="9">
        <f>IFERROR(ROUND(AVERAGEIF('Dane dzienne'!B:B,A241,'Dane dzienne'!E:E),2),"-")</f>
        <v/>
      </c>
      <c r="F241" s="6">
        <f>IFERROR(ROUND(AVERAGEIF('Dane dzienne'!B:B,A241,'Dane dzienne'!F:F),0),"-")</f>
        <v/>
      </c>
      <c r="G241" s="6">
        <f>IFERROR(MAXIFS('Dane dzienne'!G:G,'Dane dzienne'!B:B,A241),"-")</f>
        <v/>
      </c>
    </row>
    <row r="242">
      <c r="A242" s="4" t="inlineStr">
        <is>
          <t>40819</t>
        </is>
      </c>
      <c r="B242" s="5" t="inlineStr">
        <is>
          <t>Up-Scaled Racing Driver Minifigure</t>
        </is>
      </c>
      <c r="C242" s="4" t="inlineStr">
        <is>
          <t>Miscellaneous</t>
        </is>
      </c>
      <c r="D242" s="8">
        <f>IFERROR(MINIFS('Dane dzienne'!E:E,'Dane dzienne'!B:B,A242),"-")</f>
        <v/>
      </c>
      <c r="E242" s="8">
        <f>IFERROR(ROUND(AVERAGEIF('Dane dzienne'!B:B,A242,'Dane dzienne'!E:E),2),"-")</f>
        <v/>
      </c>
      <c r="F242" s="4">
        <f>IFERROR(ROUND(AVERAGEIF('Dane dzienne'!B:B,A242,'Dane dzienne'!F:F),0),"-")</f>
        <v/>
      </c>
      <c r="G242" s="4">
        <f>IFERROR(MAXIFS('Dane dzienne'!G:G,'Dane dzienne'!B:B,A242),"-")</f>
        <v/>
      </c>
    </row>
    <row r="243">
      <c r="A243" s="6" t="inlineStr">
        <is>
          <t>40822</t>
        </is>
      </c>
      <c r="B243" s="7" t="inlineStr">
        <is>
          <t>Jack-O'-Lantern Pickup Truck</t>
        </is>
      </c>
      <c r="C243" s="6" t="inlineStr">
        <is>
          <t>Miscellaneous</t>
        </is>
      </c>
      <c r="D243" s="9">
        <f>IFERROR(MINIFS('Dane dzienne'!E:E,'Dane dzienne'!B:B,A243),"-")</f>
        <v/>
      </c>
      <c r="E243" s="9">
        <f>IFERROR(ROUND(AVERAGEIF('Dane dzienne'!B:B,A243,'Dane dzienne'!E:E),2),"-")</f>
        <v/>
      </c>
      <c r="F243" s="6">
        <f>IFERROR(ROUND(AVERAGEIF('Dane dzienne'!B:B,A243,'Dane dzienne'!F:F),0),"-")</f>
        <v/>
      </c>
      <c r="G243" s="6">
        <f>IFERROR(MAXIFS('Dane dzienne'!G:G,'Dane dzienne'!B:B,A243),"-")</f>
        <v/>
      </c>
    </row>
    <row r="244">
      <c r="A244" s="4" t="inlineStr">
        <is>
          <t>40824</t>
        </is>
      </c>
      <c r="B244" s="5" t="inlineStr">
        <is>
          <t>Sweetheart Tweety Bird</t>
        </is>
      </c>
      <c r="C244" s="4" t="inlineStr">
        <is>
          <t>Miscellaneous</t>
        </is>
      </c>
      <c r="D244" s="8">
        <f>IFERROR(MINIFS('Dane dzienne'!E:E,'Dane dzienne'!B:B,A244),"-")</f>
        <v/>
      </c>
      <c r="E244" s="8">
        <f>IFERROR(ROUND(AVERAGEIF('Dane dzienne'!B:B,A244,'Dane dzienne'!E:E),2),"-")</f>
        <v/>
      </c>
      <c r="F244" s="4">
        <f>IFERROR(ROUND(AVERAGEIF('Dane dzienne'!B:B,A244,'Dane dzienne'!F:F),0),"-")</f>
        <v/>
      </c>
      <c r="G244" s="4">
        <f>IFERROR(MAXIFS('Dane dzienne'!G:G,'Dane dzienne'!B:B,A244),"-")</f>
        <v/>
      </c>
    </row>
    <row r="245">
      <c r="A245" s="6" t="inlineStr">
        <is>
          <t>40955</t>
        </is>
      </c>
      <c r="B245" s="7" t="inlineStr">
        <is>
          <t>Maersk Dual-Fuel Container Vessel</t>
        </is>
      </c>
      <c r="C245" s="6" t="inlineStr">
        <is>
          <t>Miscellaneous</t>
        </is>
      </c>
      <c r="D245" s="9">
        <f>IFERROR(MINIFS('Dane dzienne'!E:E,'Dane dzienne'!B:B,A245),"-")</f>
        <v/>
      </c>
      <c r="E245" s="9">
        <f>IFERROR(ROUND(AVERAGEIF('Dane dzienne'!B:B,A245,'Dane dzienne'!E:E),2),"-")</f>
        <v/>
      </c>
      <c r="F245" s="6">
        <f>IFERROR(ROUND(AVERAGEIF('Dane dzienne'!B:B,A245,'Dane dzienne'!F:F),0),"-")</f>
        <v/>
      </c>
      <c r="G245" s="6">
        <f>IFERROR(MAXIFS('Dane dzienne'!G:G,'Dane dzienne'!B:B,A245),"-")</f>
        <v/>
      </c>
    </row>
    <row r="246">
      <c r="A246" s="4" t="inlineStr">
        <is>
          <t>80118</t>
        </is>
      </c>
      <c r="B246" s="5" t="inlineStr">
        <is>
          <t>Fortune Firecracker</t>
        </is>
      </c>
      <c r="C246" s="4" t="inlineStr">
        <is>
          <t>Miscellaneous</t>
        </is>
      </c>
      <c r="D246" s="8">
        <f>IFERROR(MINIFS('Dane dzienne'!E:E,'Dane dzienne'!B:B,A246),"-")</f>
        <v/>
      </c>
      <c r="E246" s="8">
        <f>IFERROR(ROUND(AVERAGEIF('Dane dzienne'!B:B,A246,'Dane dzienne'!E:E),2),"-")</f>
        <v/>
      </c>
      <c r="F246" s="4">
        <f>IFERROR(ROUND(AVERAGEIF('Dane dzienne'!B:B,A246,'Dane dzienne'!F:F),0),"-")</f>
        <v/>
      </c>
      <c r="G246" s="4">
        <f>IFERROR(MAXIFS('Dane dzienne'!G:G,'Dane dzienne'!B:B,A246),"-")</f>
        <v/>
      </c>
    </row>
    <row r="247">
      <c r="A247" s="6" t="inlineStr">
        <is>
          <t>80119</t>
        </is>
      </c>
      <c r="B247" s="7" t="inlineStr">
        <is>
          <t>Galloping Horse Canvas</t>
        </is>
      </c>
      <c r="C247" s="6" t="inlineStr">
        <is>
          <t>Miscellaneous</t>
        </is>
      </c>
      <c r="D247" s="9">
        <f>IFERROR(MINIFS('Dane dzienne'!E:E,'Dane dzienne'!B:B,A247),"-")</f>
        <v/>
      </c>
      <c r="E247" s="9">
        <f>IFERROR(ROUND(AVERAGEIF('Dane dzienne'!B:B,A247,'Dane dzienne'!E:E),2),"-")</f>
        <v/>
      </c>
      <c r="F247" s="6">
        <f>IFERROR(ROUND(AVERAGEIF('Dane dzienne'!B:B,A247,'Dane dzienne'!F:F),0),"-")</f>
        <v/>
      </c>
      <c r="G247" s="6">
        <f>IFERROR(MAXIFS('Dane dzienne'!G:G,'Dane dzienne'!B:B,A247),"-")</f>
        <v/>
      </c>
    </row>
    <row r="248">
      <c r="A248" s="4" t="inlineStr">
        <is>
          <t>43010</t>
        </is>
      </c>
      <c r="B248" s="5" t="inlineStr">
        <is>
          <t>Nike Slam Dunk</t>
        </is>
      </c>
      <c r="C248" s="4" t="inlineStr">
        <is>
          <t>Nike</t>
        </is>
      </c>
      <c r="D248" s="8">
        <f>IFERROR(MINIFS('Dane dzienne'!E:E,'Dane dzienne'!B:B,A248),"-")</f>
        <v/>
      </c>
      <c r="E248" s="8">
        <f>IFERROR(ROUND(AVERAGEIF('Dane dzienne'!B:B,A248,'Dane dzienne'!E:E),2),"-")</f>
        <v/>
      </c>
      <c r="F248" s="4">
        <f>IFERROR(ROUND(AVERAGEIF('Dane dzienne'!B:B,A248,'Dane dzienne'!F:F),0),"-")</f>
        <v/>
      </c>
      <c r="G248" s="4">
        <f>IFERROR(MAXIFS('Dane dzienne'!G:G,'Dane dzienne'!B:B,A248),"-")</f>
        <v/>
      </c>
    </row>
    <row r="249">
      <c r="A249" s="6" t="inlineStr">
        <is>
          <t>43021</t>
        </is>
      </c>
      <c r="B249" s="7" t="inlineStr">
        <is>
          <t>Nike Dunk Trickshot</t>
        </is>
      </c>
      <c r="C249" s="6" t="inlineStr">
        <is>
          <t>Nike</t>
        </is>
      </c>
      <c r="D249" s="9">
        <f>IFERROR(MINIFS('Dane dzienne'!E:E,'Dane dzienne'!B:B,A249),"-")</f>
        <v/>
      </c>
      <c r="E249" s="9">
        <f>IFERROR(ROUND(AVERAGEIF('Dane dzienne'!B:B,A249,'Dane dzienne'!E:E),2),"-")</f>
        <v/>
      </c>
      <c r="F249" s="6">
        <f>IFERROR(ROUND(AVERAGEIF('Dane dzienne'!B:B,A249,'Dane dzienne'!F:F),0),"-")</f>
        <v/>
      </c>
      <c r="G249" s="6">
        <f>IFERROR(MAXIFS('Dane dzienne'!G:G,'Dane dzienne'!B:B,A249),"-")</f>
        <v/>
      </c>
    </row>
    <row r="250">
      <c r="A250" s="4" t="inlineStr">
        <is>
          <t>30700</t>
        </is>
      </c>
      <c r="B250" s="5" t="inlineStr">
        <is>
          <t>Arin vs. Dragonian Battle (Polybag)</t>
        </is>
      </c>
      <c r="C250" s="4" t="inlineStr">
        <is>
          <t>Ninjago</t>
        </is>
      </c>
      <c r="D250" s="8">
        <f>IFERROR(MINIFS('Dane dzienne'!E:E,'Dane dzienne'!B:B,A250),"-")</f>
        <v/>
      </c>
      <c r="E250" s="8">
        <f>IFERROR(ROUND(AVERAGEIF('Dane dzienne'!B:B,A250,'Dane dzienne'!E:E),2),"-")</f>
        <v/>
      </c>
      <c r="F250" s="4">
        <f>IFERROR(ROUND(AVERAGEIF('Dane dzienne'!B:B,A250,'Dane dzienne'!F:F),0),"-")</f>
        <v/>
      </c>
      <c r="G250" s="4">
        <f>IFERROR(MAXIFS('Dane dzienne'!G:G,'Dane dzienne'!B:B,A250),"-")</f>
        <v/>
      </c>
    </row>
    <row r="251">
      <c r="A251" s="6" t="inlineStr">
        <is>
          <t>30723</t>
        </is>
      </c>
      <c r="B251" s="7" t="inlineStr">
        <is>
          <t>Cole's Car (Polybag)</t>
        </is>
      </c>
      <c r="C251" s="6" t="inlineStr">
        <is>
          <t>Ninjago</t>
        </is>
      </c>
      <c r="D251" s="9">
        <f>IFERROR(MINIFS('Dane dzienne'!E:E,'Dane dzienne'!B:B,A251),"-")</f>
        <v/>
      </c>
      <c r="E251" s="9">
        <f>IFERROR(ROUND(AVERAGEIF('Dane dzienne'!B:B,A251,'Dane dzienne'!E:E),2),"-")</f>
        <v/>
      </c>
      <c r="F251" s="6">
        <f>IFERROR(ROUND(AVERAGEIF('Dane dzienne'!B:B,A251,'Dane dzienne'!F:F),0),"-")</f>
        <v/>
      </c>
      <c r="G251" s="6">
        <f>IFERROR(MAXIFS('Dane dzienne'!G:G,'Dane dzienne'!B:B,A251),"-")</f>
        <v/>
      </c>
    </row>
    <row r="252">
      <c r="A252" s="4" t="inlineStr">
        <is>
          <t>71780</t>
        </is>
      </c>
      <c r="B252" s="5" t="inlineStr">
        <is>
          <t>Kai's Ninja Race Car EVO</t>
        </is>
      </c>
      <c r="C252" s="4" t="inlineStr">
        <is>
          <t>Ninjago</t>
        </is>
      </c>
      <c r="D252" s="8">
        <f>IFERROR(MINIFS('Dane dzienne'!E:E,'Dane dzienne'!B:B,A252),"-")</f>
        <v/>
      </c>
      <c r="E252" s="8">
        <f>IFERROR(ROUND(AVERAGEIF('Dane dzienne'!B:B,A252,'Dane dzienne'!E:E),2),"-")</f>
        <v/>
      </c>
      <c r="F252" s="4">
        <f>IFERROR(ROUND(AVERAGEIF('Dane dzienne'!B:B,A252,'Dane dzienne'!F:F),0),"-")</f>
        <v/>
      </c>
      <c r="G252" s="4">
        <f>IFERROR(MAXIFS('Dane dzienne'!G:G,'Dane dzienne'!B:B,A252),"-")</f>
        <v/>
      </c>
    </row>
    <row r="253">
      <c r="A253" s="6" t="inlineStr">
        <is>
          <t>71808</t>
        </is>
      </c>
      <c r="B253" s="7" t="inlineStr">
        <is>
          <t>Kai's Elemental Fire Mech</t>
        </is>
      </c>
      <c r="C253" s="6" t="inlineStr">
        <is>
          <t>Ninjago</t>
        </is>
      </c>
      <c r="D253" s="9">
        <f>IFERROR(MINIFS('Dane dzienne'!E:E,'Dane dzienne'!B:B,A253),"-")</f>
        <v/>
      </c>
      <c r="E253" s="9">
        <f>IFERROR(ROUND(AVERAGEIF('Dane dzienne'!B:B,A253,'Dane dzienne'!E:E),2),"-")</f>
        <v/>
      </c>
      <c r="F253" s="6">
        <f>IFERROR(ROUND(AVERAGEIF('Dane dzienne'!B:B,A253,'Dane dzienne'!F:F),0),"-")</f>
        <v/>
      </c>
      <c r="G253" s="6">
        <f>IFERROR(MAXIFS('Dane dzienne'!G:G,'Dane dzienne'!B:B,A253),"-")</f>
        <v/>
      </c>
    </row>
    <row r="254">
      <c r="A254" s="4" t="inlineStr">
        <is>
          <t>71814</t>
        </is>
      </c>
      <c r="B254" s="5" t="inlineStr">
        <is>
          <t>Tournament Temple City</t>
        </is>
      </c>
      <c r="C254" s="4" t="inlineStr">
        <is>
          <t>Ninjago</t>
        </is>
      </c>
      <c r="D254" s="8">
        <f>IFERROR(MINIFS('Dane dzienne'!E:E,'Dane dzienne'!B:B,A254),"-")</f>
        <v/>
      </c>
      <c r="E254" s="8">
        <f>IFERROR(ROUND(AVERAGEIF('Dane dzienne'!B:B,A254,'Dane dzienne'!E:E),2),"-")</f>
        <v/>
      </c>
      <c r="F254" s="4">
        <f>IFERROR(ROUND(AVERAGEIF('Dane dzienne'!B:B,A254,'Dane dzienne'!F:F),0),"-")</f>
        <v/>
      </c>
      <c r="G254" s="4">
        <f>IFERROR(MAXIFS('Dane dzienne'!G:G,'Dane dzienne'!B:B,A254),"-")</f>
        <v/>
      </c>
    </row>
    <row r="255">
      <c r="A255" s="6" t="inlineStr">
        <is>
          <t>71826</t>
        </is>
      </c>
      <c r="B255" s="7" t="inlineStr">
        <is>
          <t>Dragon Spinjitzu Battle Pack</t>
        </is>
      </c>
      <c r="C255" s="6" t="inlineStr">
        <is>
          <t>Ninjago</t>
        </is>
      </c>
      <c r="D255" s="9">
        <f>IFERROR(MINIFS('Dane dzienne'!E:E,'Dane dzienne'!B:B,A255),"-")</f>
        <v/>
      </c>
      <c r="E255" s="9">
        <f>IFERROR(ROUND(AVERAGEIF('Dane dzienne'!B:B,A255,'Dane dzienne'!E:E),2),"-")</f>
        <v/>
      </c>
      <c r="F255" s="6">
        <f>IFERROR(ROUND(AVERAGEIF('Dane dzienne'!B:B,A255,'Dane dzienne'!F:F),0),"-")</f>
        <v/>
      </c>
      <c r="G255" s="6">
        <f>IFERROR(MAXIFS('Dane dzienne'!G:G,'Dane dzienne'!B:B,A255),"-")</f>
        <v/>
      </c>
    </row>
    <row r="256">
      <c r="A256" s="4" t="inlineStr">
        <is>
          <t>71827</t>
        </is>
      </c>
      <c r="B256" s="5" t="inlineStr">
        <is>
          <t>Zane's Action Mech</t>
        </is>
      </c>
      <c r="C256" s="4" t="inlineStr">
        <is>
          <t>Ninjago</t>
        </is>
      </c>
      <c r="D256" s="8">
        <f>IFERROR(MINIFS('Dane dzienne'!E:E,'Dane dzienne'!B:B,A256),"-")</f>
        <v/>
      </c>
      <c r="E256" s="8">
        <f>IFERROR(ROUND(AVERAGEIF('Dane dzienne'!B:B,A256,'Dane dzienne'!E:E),2),"-")</f>
        <v/>
      </c>
      <c r="F256" s="4">
        <f>IFERROR(ROUND(AVERAGEIF('Dane dzienne'!B:B,A256,'Dane dzienne'!F:F),0),"-")</f>
        <v/>
      </c>
      <c r="G256" s="4">
        <f>IFERROR(MAXIFS('Dane dzienne'!G:G,'Dane dzienne'!B:B,A256),"-")</f>
        <v/>
      </c>
    </row>
    <row r="257">
      <c r="A257" s="6" t="inlineStr">
        <is>
          <t>71829</t>
        </is>
      </c>
      <c r="B257" s="7" t="inlineStr">
        <is>
          <t>Lloyd's Green Forest Dragon</t>
        </is>
      </c>
      <c r="C257" s="6" t="inlineStr">
        <is>
          <t>Ninjago</t>
        </is>
      </c>
      <c r="D257" s="9">
        <f>IFERROR(MINIFS('Dane dzienne'!E:E,'Dane dzienne'!B:B,A257),"-")</f>
        <v/>
      </c>
      <c r="E257" s="9">
        <f>IFERROR(ROUND(AVERAGEIF('Dane dzienne'!B:B,A257,'Dane dzienne'!E:E),2),"-")</f>
        <v/>
      </c>
      <c r="F257" s="6">
        <f>IFERROR(ROUND(AVERAGEIF('Dane dzienne'!B:B,A257,'Dane dzienne'!F:F),0),"-")</f>
        <v/>
      </c>
      <c r="G257" s="6">
        <f>IFERROR(MAXIFS('Dane dzienne'!G:G,'Dane dzienne'!B:B,A257),"-")</f>
        <v/>
      </c>
    </row>
    <row r="258">
      <c r="A258" s="4" t="inlineStr">
        <is>
          <t>71830</t>
        </is>
      </c>
      <c r="B258" s="5" t="inlineStr">
        <is>
          <t>Kai's Storm Rider Mech</t>
        </is>
      </c>
      <c r="C258" s="4" t="inlineStr">
        <is>
          <t>Ninjago</t>
        </is>
      </c>
      <c r="D258" s="8">
        <f>IFERROR(MINIFS('Dane dzienne'!E:E,'Dane dzienne'!B:B,A258),"-")</f>
        <v/>
      </c>
      <c r="E258" s="8">
        <f>IFERROR(ROUND(AVERAGEIF('Dane dzienne'!B:B,A258,'Dane dzienne'!E:E),2),"-")</f>
        <v/>
      </c>
      <c r="F258" s="4">
        <f>IFERROR(ROUND(AVERAGEIF('Dane dzienne'!B:B,A258,'Dane dzienne'!F:F),0),"-")</f>
        <v/>
      </c>
      <c r="G258" s="4">
        <f>IFERROR(MAXIFS('Dane dzienne'!G:G,'Dane dzienne'!B:B,A258),"-")</f>
        <v/>
      </c>
    </row>
    <row r="259">
      <c r="A259" s="6" t="inlineStr">
        <is>
          <t>71831</t>
        </is>
      </c>
      <c r="B259" s="7" t="inlineStr">
        <is>
          <t>Ninja Spinjitzu Temple</t>
        </is>
      </c>
      <c r="C259" s="6" t="inlineStr">
        <is>
          <t>Ninjago</t>
        </is>
      </c>
      <c r="D259" s="9">
        <f>IFERROR(MINIFS('Dane dzienne'!E:E,'Dane dzienne'!B:B,A259),"-")</f>
        <v/>
      </c>
      <c r="E259" s="9">
        <f>IFERROR(ROUND(AVERAGEIF('Dane dzienne'!B:B,A259,'Dane dzienne'!E:E),2),"-")</f>
        <v/>
      </c>
      <c r="F259" s="6">
        <f>IFERROR(ROUND(AVERAGEIF('Dane dzienne'!B:B,A259,'Dane dzienne'!F:F),0),"-")</f>
        <v/>
      </c>
      <c r="G259" s="6">
        <f>IFERROR(MAXIFS('Dane dzienne'!G:G,'Dane dzienne'!B:B,A259),"-")</f>
        <v/>
      </c>
    </row>
    <row r="260">
      <c r="A260" s="4" t="inlineStr">
        <is>
          <t>71834</t>
        </is>
      </c>
      <c r="B260" s="5" t="inlineStr">
        <is>
          <t>Zane's Ultra Combiner Mech</t>
        </is>
      </c>
      <c r="C260" s="4" t="inlineStr">
        <is>
          <t>Ninjago</t>
        </is>
      </c>
      <c r="D260" s="8">
        <f>IFERROR(MINIFS('Dane dzienne'!E:E,'Dane dzienne'!B:B,A260),"-")</f>
        <v/>
      </c>
      <c r="E260" s="8">
        <f>IFERROR(ROUND(AVERAGEIF('Dane dzienne'!B:B,A260,'Dane dzienne'!E:E),2),"-")</f>
        <v/>
      </c>
      <c r="F260" s="4">
        <f>IFERROR(ROUND(AVERAGEIF('Dane dzienne'!B:B,A260,'Dane dzienne'!F:F),0),"-")</f>
        <v/>
      </c>
      <c r="G260" s="4">
        <f>IFERROR(MAXIFS('Dane dzienne'!G:G,'Dane dzienne'!B:B,A260),"-")</f>
        <v/>
      </c>
    </row>
    <row r="261">
      <c r="A261" s="6" t="inlineStr">
        <is>
          <t>71836</t>
        </is>
      </c>
      <c r="B261" s="7" t="inlineStr">
        <is>
          <t>Arc Dragon of Focus</t>
        </is>
      </c>
      <c r="C261" s="6" t="inlineStr">
        <is>
          <t>Ninjago</t>
        </is>
      </c>
      <c r="D261" s="9">
        <f>IFERROR(MINIFS('Dane dzienne'!E:E,'Dane dzienne'!B:B,A261),"-")</f>
        <v/>
      </c>
      <c r="E261" s="9">
        <f>IFERROR(ROUND(AVERAGEIF('Dane dzienne'!B:B,A261,'Dane dzienne'!E:E),2),"-")</f>
        <v/>
      </c>
      <c r="F261" s="6">
        <f>IFERROR(ROUND(AVERAGEIF('Dane dzienne'!B:B,A261,'Dane dzienne'!F:F),0),"-")</f>
        <v/>
      </c>
      <c r="G261" s="6">
        <f>IFERROR(MAXIFS('Dane dzienne'!G:G,'Dane dzienne'!B:B,A261),"-")</f>
        <v/>
      </c>
    </row>
    <row r="262">
      <c r="A262" s="4" t="inlineStr">
        <is>
          <t>71838</t>
        </is>
      </c>
      <c r="B262" s="5" t="inlineStr">
        <is>
          <t>Kai's Motorcycle Speed Race</t>
        </is>
      </c>
      <c r="C262" s="4" t="inlineStr">
        <is>
          <t>Ninjago</t>
        </is>
      </c>
      <c r="D262" s="8">
        <f>IFERROR(MINIFS('Dane dzienne'!E:E,'Dane dzienne'!B:B,A262),"-")</f>
        <v/>
      </c>
      <c r="E262" s="8">
        <f>IFERROR(ROUND(AVERAGEIF('Dane dzienne'!B:B,A262,'Dane dzienne'!E:E),2),"-")</f>
        <v/>
      </c>
      <c r="F262" s="4">
        <f>IFERROR(ROUND(AVERAGEIF('Dane dzienne'!B:B,A262,'Dane dzienne'!F:F),0),"-")</f>
        <v/>
      </c>
      <c r="G262" s="4">
        <f>IFERROR(MAXIFS('Dane dzienne'!G:G,'Dane dzienne'!B:B,A262),"-")</f>
        <v/>
      </c>
    </row>
    <row r="263">
      <c r="A263" s="6" t="inlineStr">
        <is>
          <t>71839</t>
        </is>
      </c>
      <c r="B263" s="7" t="inlineStr">
        <is>
          <t>Arin's Spinjitzu Battle Mech</t>
        </is>
      </c>
      <c r="C263" s="6" t="inlineStr">
        <is>
          <t>Ninjago</t>
        </is>
      </c>
      <c r="D263" s="9">
        <f>IFERROR(MINIFS('Dane dzienne'!E:E,'Dane dzienne'!B:B,A263),"-")</f>
        <v/>
      </c>
      <c r="E263" s="9">
        <f>IFERROR(ROUND(AVERAGEIF('Dane dzienne'!B:B,A263,'Dane dzienne'!E:E),2),"-")</f>
        <v/>
      </c>
      <c r="F263" s="6">
        <f>IFERROR(ROUND(AVERAGEIF('Dane dzienne'!B:B,A263,'Dane dzienne'!F:F),0),"-")</f>
        <v/>
      </c>
      <c r="G263" s="6">
        <f>IFERROR(MAXIFS('Dane dzienne'!G:G,'Dane dzienne'!B:B,A263),"-")</f>
        <v/>
      </c>
    </row>
    <row r="264">
      <c r="A264" s="4" t="inlineStr">
        <is>
          <t>71840</t>
        </is>
      </c>
      <c r="B264" s="5" t="inlineStr">
        <is>
          <t>Rogue vs. Drix Race Car Duel</t>
        </is>
      </c>
      <c r="C264" s="4" t="inlineStr">
        <is>
          <t>Ninjago</t>
        </is>
      </c>
      <c r="D264" s="8">
        <f>IFERROR(MINIFS('Dane dzienne'!E:E,'Dane dzienne'!B:B,A264),"-")</f>
        <v/>
      </c>
      <c r="E264" s="8">
        <f>IFERROR(ROUND(AVERAGEIF('Dane dzienne'!B:B,A264,'Dane dzienne'!E:E),2),"-")</f>
        <v/>
      </c>
      <c r="F264" s="4">
        <f>IFERROR(ROUND(AVERAGEIF('Dane dzienne'!B:B,A264,'Dane dzienne'!F:F),0),"-")</f>
        <v/>
      </c>
      <c r="G264" s="4">
        <f>IFERROR(MAXIFS('Dane dzienne'!G:G,'Dane dzienne'!B:B,A264),"-")</f>
        <v/>
      </c>
    </row>
    <row r="265">
      <c r="A265" s="6" t="inlineStr">
        <is>
          <t>71846</t>
        </is>
      </c>
      <c r="B265" s="7" t="inlineStr">
        <is>
          <t>The Fire Knight Mech</t>
        </is>
      </c>
      <c r="C265" s="6" t="inlineStr">
        <is>
          <t>Ninjago</t>
        </is>
      </c>
      <c r="D265" s="9">
        <f>IFERROR(MINIFS('Dane dzienne'!E:E,'Dane dzienne'!B:B,A265),"-")</f>
        <v/>
      </c>
      <c r="E265" s="9">
        <f>IFERROR(ROUND(AVERAGEIF('Dane dzienne'!B:B,A265,'Dane dzienne'!E:E),2),"-")</f>
        <v/>
      </c>
      <c r="F265" s="6">
        <f>IFERROR(ROUND(AVERAGEIF('Dane dzienne'!B:B,A265,'Dane dzienne'!F:F),0),"-")</f>
        <v/>
      </c>
      <c r="G265" s="6">
        <f>IFERROR(MAXIFS('Dane dzienne'!G:G,'Dane dzienne'!B:B,A265),"-")</f>
        <v/>
      </c>
    </row>
    <row r="266">
      <c r="A266" s="4" t="inlineStr">
        <is>
          <t>71847</t>
        </is>
      </c>
      <c r="B266" s="5" t="inlineStr">
        <is>
          <t>The Guardian Dragon</t>
        </is>
      </c>
      <c r="C266" s="4" t="inlineStr">
        <is>
          <t>Ninjago</t>
        </is>
      </c>
      <c r="D266" s="8">
        <f>IFERROR(MINIFS('Dane dzienne'!E:E,'Dane dzienne'!B:B,A266),"-")</f>
        <v/>
      </c>
      <c r="E266" s="8">
        <f>IFERROR(ROUND(AVERAGEIF('Dane dzienne'!B:B,A266,'Dane dzienne'!E:E),2),"-")</f>
        <v/>
      </c>
      <c r="F266" s="4">
        <f>IFERROR(ROUND(AVERAGEIF('Dane dzienne'!B:B,A266,'Dane dzienne'!F:F),0),"-")</f>
        <v/>
      </c>
      <c r="G266" s="4">
        <f>IFERROR(MAXIFS('Dane dzienne'!G:G,'Dane dzienne'!B:B,A266),"-")</f>
        <v/>
      </c>
    </row>
    <row r="267">
      <c r="A267" s="6" t="inlineStr">
        <is>
          <t>71849</t>
        </is>
      </c>
      <c r="B267" s="7" t="inlineStr">
        <is>
          <t>Nya vs. Mutation Monster Spinner</t>
        </is>
      </c>
      <c r="C267" s="6" t="inlineStr">
        <is>
          <t>Ninjago</t>
        </is>
      </c>
      <c r="D267" s="9">
        <f>IFERROR(MINIFS('Dane dzienne'!E:E,'Dane dzienne'!B:B,A267),"-")</f>
        <v/>
      </c>
      <c r="E267" s="9">
        <f>IFERROR(ROUND(AVERAGEIF('Dane dzienne'!B:B,A267,'Dane dzienne'!E:E),2),"-")</f>
        <v/>
      </c>
      <c r="F267" s="6">
        <f>IFERROR(ROUND(AVERAGEIF('Dane dzienne'!B:B,A267,'Dane dzienne'!F:F),0),"-")</f>
        <v/>
      </c>
      <c r="G267" s="6">
        <f>IFERROR(MAXIFS('Dane dzienne'!G:G,'Dane dzienne'!B:B,A267),"-")</f>
        <v/>
      </c>
    </row>
    <row r="268">
      <c r="A268" s="4" t="inlineStr">
        <is>
          <t>71850</t>
        </is>
      </c>
      <c r="B268" s="5" t="inlineStr">
        <is>
          <t>Lloyd vs. Earth Monster Spinner</t>
        </is>
      </c>
      <c r="C268" s="4" t="inlineStr">
        <is>
          <t>Ninjago</t>
        </is>
      </c>
      <c r="D268" s="8">
        <f>IFERROR(MINIFS('Dane dzienne'!E:E,'Dane dzienne'!B:B,A268),"-")</f>
        <v/>
      </c>
      <c r="E268" s="8">
        <f>IFERROR(ROUND(AVERAGEIF('Dane dzienne'!B:B,A268,'Dane dzienne'!E:E),2),"-")</f>
        <v/>
      </c>
      <c r="F268" s="4">
        <f>IFERROR(ROUND(AVERAGEIF('Dane dzienne'!B:B,A268,'Dane dzienne'!F:F),0),"-")</f>
        <v/>
      </c>
      <c r="G268" s="4">
        <f>IFERROR(MAXIFS('Dane dzienne'!G:G,'Dane dzienne'!B:B,A268),"-")</f>
        <v/>
      </c>
    </row>
    <row r="269">
      <c r="A269" s="6" t="inlineStr">
        <is>
          <t>71854</t>
        </is>
      </c>
      <c r="B269" s="7" t="inlineStr">
        <is>
          <t>Cole's Mission Mech</t>
        </is>
      </c>
      <c r="C269" s="6" t="inlineStr">
        <is>
          <t>Ninjago</t>
        </is>
      </c>
      <c r="D269" s="9">
        <f>IFERROR(MINIFS('Dane dzienne'!E:E,'Dane dzienne'!B:B,A269),"-")</f>
        <v/>
      </c>
      <c r="E269" s="9">
        <f>IFERROR(ROUND(AVERAGEIF('Dane dzienne'!B:B,A269,'Dane dzienne'!E:E),2),"-")</f>
        <v/>
      </c>
      <c r="F269" s="6">
        <f>IFERROR(ROUND(AVERAGEIF('Dane dzienne'!B:B,A269,'Dane dzienne'!F:F),0),"-")</f>
        <v/>
      </c>
      <c r="G269" s="6">
        <f>IFERROR(MAXIFS('Dane dzienne'!G:G,'Dane dzienne'!B:B,A269),"-")</f>
        <v/>
      </c>
    </row>
    <row r="270">
      <c r="A270" s="4" t="inlineStr">
        <is>
          <t>71856</t>
        </is>
      </c>
      <c r="B270" s="5" t="inlineStr">
        <is>
          <t>Jay's Transforming Car</t>
        </is>
      </c>
      <c r="C270" s="4" t="inlineStr">
        <is>
          <t>Ninjago</t>
        </is>
      </c>
      <c r="D270" s="8">
        <f>IFERROR(MINIFS('Dane dzienne'!E:E,'Dane dzienne'!B:B,A270),"-")</f>
        <v/>
      </c>
      <c r="E270" s="8">
        <f>IFERROR(ROUND(AVERAGEIF('Dane dzienne'!B:B,A270,'Dane dzienne'!E:E),2),"-")</f>
        <v/>
      </c>
      <c r="F270" s="4">
        <f>IFERROR(ROUND(AVERAGEIF('Dane dzienne'!B:B,A270,'Dane dzienne'!F:F),0),"-")</f>
        <v/>
      </c>
      <c r="G270" s="4">
        <f>IFERROR(MAXIFS('Dane dzienne'!G:G,'Dane dzienne'!B:B,A270),"-")</f>
        <v/>
      </c>
    </row>
    <row r="271">
      <c r="A271" s="6" t="inlineStr">
        <is>
          <t>71857</t>
        </is>
      </c>
      <c r="B271" s="7" t="inlineStr">
        <is>
          <t>Ninja Vehicle Tree House Battle</t>
        </is>
      </c>
      <c r="C271" s="6" t="inlineStr">
        <is>
          <t>Ninjago</t>
        </is>
      </c>
      <c r="D271" s="9">
        <f>IFERROR(MINIFS('Dane dzienne'!E:E,'Dane dzienne'!B:B,A271),"-")</f>
        <v/>
      </c>
      <c r="E271" s="9">
        <f>IFERROR(ROUND(AVERAGEIF('Dane dzienne'!B:B,A271,'Dane dzienne'!E:E),2),"-")</f>
        <v/>
      </c>
      <c r="F271" s="6">
        <f>IFERROR(ROUND(AVERAGEIF('Dane dzienne'!B:B,A271,'Dane dzienne'!F:F),0),"-")</f>
        <v/>
      </c>
      <c r="G271" s="6">
        <f>IFERROR(MAXIFS('Dane dzienne'!G:G,'Dane dzienne'!B:B,A271),"-")</f>
        <v/>
      </c>
    </row>
    <row r="272">
      <c r="A272" s="4" t="inlineStr">
        <is>
          <t>75636</t>
        </is>
      </c>
      <c r="B272" s="5" t="inlineStr">
        <is>
          <t>Windmill Village Hut</t>
        </is>
      </c>
      <c r="C272" s="4" t="inlineStr">
        <is>
          <t>One Piece</t>
        </is>
      </c>
      <c r="D272" s="8">
        <f>IFERROR(MINIFS('Dane dzienne'!E:E,'Dane dzienne'!B:B,A272),"-")</f>
        <v/>
      </c>
      <c r="E272" s="8">
        <f>IFERROR(ROUND(AVERAGEIF('Dane dzienne'!B:B,A272,'Dane dzienne'!E:E),2),"-")</f>
        <v/>
      </c>
      <c r="F272" s="4">
        <f>IFERROR(ROUND(AVERAGEIF('Dane dzienne'!B:B,A272,'Dane dzienne'!F:F),0),"-")</f>
        <v/>
      </c>
      <c r="G272" s="4">
        <f>IFERROR(MAXIFS('Dane dzienne'!G:G,'Dane dzienne'!B:B,A272),"-")</f>
        <v/>
      </c>
    </row>
    <row r="273">
      <c r="A273" s="6" t="inlineStr">
        <is>
          <t>75637</t>
        </is>
      </c>
      <c r="B273" s="7" t="inlineStr">
        <is>
          <t>Buggy the Clown's Circus Tent</t>
        </is>
      </c>
      <c r="C273" s="6" t="inlineStr">
        <is>
          <t>One Piece</t>
        </is>
      </c>
      <c r="D273" s="9">
        <f>IFERROR(MINIFS('Dane dzienne'!E:E,'Dane dzienne'!B:B,A273),"-")</f>
        <v/>
      </c>
      <c r="E273" s="9">
        <f>IFERROR(ROUND(AVERAGEIF('Dane dzienne'!B:B,A273,'Dane dzienne'!E:E),2),"-")</f>
        <v/>
      </c>
      <c r="F273" s="6">
        <f>IFERROR(ROUND(AVERAGEIF('Dane dzienne'!B:B,A273,'Dane dzienne'!F:F),0),"-")</f>
        <v/>
      </c>
      <c r="G273" s="6">
        <f>IFERROR(MAXIFS('Dane dzienne'!G:G,'Dane dzienne'!B:B,A273),"-")</f>
        <v/>
      </c>
    </row>
    <row r="274">
      <c r="A274" s="4" t="inlineStr">
        <is>
          <t>30733</t>
        </is>
      </c>
      <c r="B274" s="5" t="inlineStr">
        <is>
          <t>Badnik: Skorp (Polybag)</t>
        </is>
      </c>
      <c r="C274" s="4" t="inlineStr">
        <is>
          <t>Sonic</t>
        </is>
      </c>
      <c r="D274" s="8">
        <f>IFERROR(MINIFS('Dane dzienne'!E:E,'Dane dzienne'!B:B,A274),"-")</f>
        <v/>
      </c>
      <c r="E274" s="8">
        <f>IFERROR(ROUND(AVERAGEIF('Dane dzienne'!B:B,A274,'Dane dzienne'!E:E),2),"-")</f>
        <v/>
      </c>
      <c r="F274" s="4">
        <f>IFERROR(ROUND(AVERAGEIF('Dane dzienne'!B:B,A274,'Dane dzienne'!F:F),0),"-")</f>
        <v/>
      </c>
      <c r="G274" s="4">
        <f>IFERROR(MAXIFS('Dane dzienne'!G:G,'Dane dzienne'!B:B,A274),"-")</f>
        <v/>
      </c>
    </row>
    <row r="275">
      <c r="A275" s="6" t="inlineStr">
        <is>
          <t>77001</t>
        </is>
      </c>
      <c r="B275" s="7" t="inlineStr">
        <is>
          <t>Sonic's Campfire Clash</t>
        </is>
      </c>
      <c r="C275" s="6" t="inlineStr">
        <is>
          <t>Sonic</t>
        </is>
      </c>
      <c r="D275" s="9">
        <f>IFERROR(MINIFS('Dane dzienne'!E:E,'Dane dzienne'!B:B,A275),"-")</f>
        <v/>
      </c>
      <c r="E275" s="9">
        <f>IFERROR(ROUND(AVERAGEIF('Dane dzienne'!B:B,A275,'Dane dzienne'!E:E),2),"-")</f>
        <v/>
      </c>
      <c r="F275" s="6">
        <f>IFERROR(ROUND(AVERAGEIF('Dane dzienne'!B:B,A275,'Dane dzienne'!F:F),0),"-")</f>
        <v/>
      </c>
      <c r="G275" s="6">
        <f>IFERROR(MAXIFS('Dane dzienne'!G:G,'Dane dzienne'!B:B,A275),"-")</f>
        <v/>
      </c>
    </row>
    <row r="276">
      <c r="A276" s="4" t="inlineStr">
        <is>
          <t>77002</t>
        </is>
      </c>
      <c r="B276" s="5" t="inlineStr">
        <is>
          <t>Cyclone vs. Metal Sonic</t>
        </is>
      </c>
      <c r="C276" s="4" t="inlineStr">
        <is>
          <t>Sonic</t>
        </is>
      </c>
      <c r="D276" s="8">
        <f>IFERROR(MINIFS('Dane dzienne'!E:E,'Dane dzienne'!B:B,A276),"-")</f>
        <v/>
      </c>
      <c r="E276" s="8">
        <f>IFERROR(ROUND(AVERAGEIF('Dane dzienne'!B:B,A276,'Dane dzienne'!E:E),2),"-")</f>
        <v/>
      </c>
      <c r="F276" s="4">
        <f>IFERROR(ROUND(AVERAGEIF('Dane dzienne'!B:B,A276,'Dane dzienne'!F:F),0),"-")</f>
        <v/>
      </c>
      <c r="G276" s="4">
        <f>IFERROR(MAXIFS('Dane dzienne'!G:G,'Dane dzienne'!B:B,A276),"-")</f>
        <v/>
      </c>
    </row>
    <row r="277">
      <c r="A277" s="6" t="inlineStr">
        <is>
          <t>77005</t>
        </is>
      </c>
      <c r="B277" s="7" t="inlineStr">
        <is>
          <t>Knuckles vs. Dr. Eggman Egg Crusher Mech</t>
        </is>
      </c>
      <c r="C277" s="6" t="inlineStr">
        <is>
          <t>Sonic</t>
        </is>
      </c>
      <c r="D277" s="9">
        <f>IFERROR(MINIFS('Dane dzienne'!E:E,'Dane dzienne'!B:B,A277),"-")</f>
        <v/>
      </c>
      <c r="E277" s="9">
        <f>IFERROR(ROUND(AVERAGEIF('Dane dzienne'!B:B,A277,'Dane dzienne'!E:E),2),"-")</f>
        <v/>
      </c>
      <c r="F277" s="6">
        <f>IFERROR(ROUND(AVERAGEIF('Dane dzienne'!B:B,A277,'Dane dzienne'!F:F),0),"-")</f>
        <v/>
      </c>
      <c r="G277" s="6">
        <f>IFERROR(MAXIFS('Dane dzienne'!G:G,'Dane dzienne'!B:B,A277),"-")</f>
        <v/>
      </c>
    </row>
    <row r="278">
      <c r="A278" s="4" t="inlineStr">
        <is>
          <t>77006</t>
        </is>
      </c>
      <c r="B278" s="5" t="inlineStr">
        <is>
          <t>Team Sonic Command Truck</t>
        </is>
      </c>
      <c r="C278" s="4" t="inlineStr">
        <is>
          <t>Sonic</t>
        </is>
      </c>
      <c r="D278" s="8">
        <f>IFERROR(MINIFS('Dane dzienne'!E:E,'Dane dzienne'!B:B,A278),"-")</f>
        <v/>
      </c>
      <c r="E278" s="8">
        <f>IFERROR(ROUND(AVERAGEIF('Dane dzienne'!B:B,A278,'Dane dzienne'!E:E),2),"-")</f>
        <v/>
      </c>
      <c r="F278" s="4">
        <f>IFERROR(ROUND(AVERAGEIF('Dane dzienne'!B:B,A278,'Dane dzienne'!F:F),0),"-")</f>
        <v/>
      </c>
      <c r="G278" s="4">
        <f>IFERROR(MAXIFS('Dane dzienne'!G:G,'Dane dzienne'!B:B,A278),"-")</f>
        <v/>
      </c>
    </row>
    <row r="279">
      <c r="A279" s="6" t="inlineStr">
        <is>
          <t>77117</t>
        </is>
      </c>
      <c r="B279" s="7" t="inlineStr">
        <is>
          <t>Sonic: Speedster Lightning</t>
        </is>
      </c>
      <c r="C279" s="6" t="inlineStr">
        <is>
          <t>Sonic</t>
        </is>
      </c>
      <c r="D279" s="9">
        <f>IFERROR(MINIFS('Dane dzienne'!E:E,'Dane dzienne'!B:B,A279),"-")</f>
        <v/>
      </c>
      <c r="E279" s="9">
        <f>IFERROR(ROUND(AVERAGEIF('Dane dzienne'!B:B,A279,'Dane dzienne'!E:E),2),"-")</f>
        <v/>
      </c>
      <c r="F279" s="6">
        <f>IFERROR(ROUND(AVERAGEIF('Dane dzienne'!B:B,A279,'Dane dzienne'!F:F),0),"-")</f>
        <v/>
      </c>
      <c r="G279" s="6">
        <f>IFERROR(MAXIFS('Dane dzienne'!G:G,'Dane dzienne'!B:B,A279),"-")</f>
        <v/>
      </c>
    </row>
    <row r="280">
      <c r="A280" s="4" t="inlineStr">
        <is>
          <t>77118</t>
        </is>
      </c>
      <c r="B280" s="5" t="inlineStr">
        <is>
          <t>Silver's Car vs. Knuckles' Monster Truck</t>
        </is>
      </c>
      <c r="C280" s="4" t="inlineStr">
        <is>
          <t>Sonic</t>
        </is>
      </c>
      <c r="D280" s="8">
        <f>IFERROR(MINIFS('Dane dzienne'!E:E,'Dane dzienne'!B:B,A280),"-")</f>
        <v/>
      </c>
      <c r="E280" s="8">
        <f>IFERROR(ROUND(AVERAGEIF('Dane dzienne'!B:B,A280,'Dane dzienne'!E:E),2),"-")</f>
        <v/>
      </c>
      <c r="F280" s="4">
        <f>IFERROR(ROUND(AVERAGEIF('Dane dzienne'!B:B,A280,'Dane dzienne'!F:F),0),"-")</f>
        <v/>
      </c>
      <c r="G280" s="4">
        <f>IFERROR(MAXIFS('Dane dzienne'!G:G,'Dane dzienne'!B:B,A280),"-")</f>
        <v/>
      </c>
    </row>
    <row r="281">
      <c r="A281" s="6" t="inlineStr">
        <is>
          <t>30734</t>
        </is>
      </c>
      <c r="B281" s="7" t="inlineStr">
        <is>
          <t>Mini F1 ACADEMY Car (Polybag)</t>
        </is>
      </c>
      <c r="C281" s="6" t="inlineStr">
        <is>
          <t>Speed Champions</t>
        </is>
      </c>
      <c r="D281" s="9">
        <f>IFERROR(MINIFS('Dane dzienne'!E:E,'Dane dzienne'!B:B,A281),"-")</f>
        <v/>
      </c>
      <c r="E281" s="9">
        <f>IFERROR(ROUND(AVERAGEIF('Dane dzienne'!B:B,A281,'Dane dzienne'!E:E),2),"-")</f>
        <v/>
      </c>
      <c r="F281" s="6">
        <f>IFERROR(ROUND(AVERAGEIF('Dane dzienne'!B:B,A281,'Dane dzienne'!F:F),0),"-")</f>
        <v/>
      </c>
      <c r="G281" s="6">
        <f>IFERROR(MAXIFS('Dane dzienne'!G:G,'Dane dzienne'!B:B,A281),"-")</f>
        <v/>
      </c>
    </row>
    <row r="282">
      <c r="A282" s="4" t="inlineStr">
        <is>
          <t>76924</t>
        </is>
      </c>
      <c r="B282" s="5" t="inlineStr">
        <is>
          <t>Mercedes-AMG G 63 &amp; Mercedes-AMG SL 63</t>
        </is>
      </c>
      <c r="C282" s="4" t="inlineStr">
        <is>
          <t>Speed Champions</t>
        </is>
      </c>
      <c r="D282" s="8">
        <f>IFERROR(MINIFS('Dane dzienne'!E:E,'Dane dzienne'!B:B,A282),"-")</f>
        <v/>
      </c>
      <c r="E282" s="8">
        <f>IFERROR(ROUND(AVERAGEIF('Dane dzienne'!B:B,A282,'Dane dzienne'!E:E),2),"-")</f>
        <v/>
      </c>
      <c r="F282" s="4">
        <f>IFERROR(ROUND(AVERAGEIF('Dane dzienne'!B:B,A282,'Dane dzienne'!F:F),0),"-")</f>
        <v/>
      </c>
      <c r="G282" s="4">
        <f>IFERROR(MAXIFS('Dane dzienne'!G:G,'Dane dzienne'!B:B,A282),"-")</f>
        <v/>
      </c>
    </row>
    <row r="283">
      <c r="A283" s="6" t="inlineStr">
        <is>
          <t>77242</t>
        </is>
      </c>
      <c r="B283" s="7" t="inlineStr">
        <is>
          <t>Ferrari SF-24 F1 Race Car</t>
        </is>
      </c>
      <c r="C283" s="6" t="inlineStr">
        <is>
          <t>Speed Champions</t>
        </is>
      </c>
      <c r="D283" s="9">
        <f>IFERROR(MINIFS('Dane dzienne'!E:E,'Dane dzienne'!B:B,A283),"-")</f>
        <v/>
      </c>
      <c r="E283" s="9">
        <f>IFERROR(ROUND(AVERAGEIF('Dane dzienne'!B:B,A283,'Dane dzienne'!E:E),2),"-")</f>
        <v/>
      </c>
      <c r="F283" s="6">
        <f>IFERROR(ROUND(AVERAGEIF('Dane dzienne'!B:B,A283,'Dane dzienne'!F:F),0),"-")</f>
        <v/>
      </c>
      <c r="G283" s="6">
        <f>IFERROR(MAXIFS('Dane dzienne'!G:G,'Dane dzienne'!B:B,A283),"-")</f>
        <v/>
      </c>
    </row>
    <row r="284">
      <c r="A284" s="4" t="inlineStr">
        <is>
          <t>77243</t>
        </is>
      </c>
      <c r="B284" s="5" t="inlineStr">
        <is>
          <t>Oracle Red Bull Racing RB20 F1 Race Car</t>
        </is>
      </c>
      <c r="C284" s="4" t="inlineStr">
        <is>
          <t>Speed Champions</t>
        </is>
      </c>
      <c r="D284" s="8">
        <f>IFERROR(MINIFS('Dane dzienne'!E:E,'Dane dzienne'!B:B,A284),"-")</f>
        <v/>
      </c>
      <c r="E284" s="8">
        <f>IFERROR(ROUND(AVERAGEIF('Dane dzienne'!B:B,A284,'Dane dzienne'!E:E),2),"-")</f>
        <v/>
      </c>
      <c r="F284" s="4">
        <f>IFERROR(ROUND(AVERAGEIF('Dane dzienne'!B:B,A284,'Dane dzienne'!F:F),0),"-")</f>
        <v/>
      </c>
      <c r="G284" s="4">
        <f>IFERROR(MAXIFS('Dane dzienne'!G:G,'Dane dzienne'!B:B,A284),"-")</f>
        <v/>
      </c>
    </row>
    <row r="285">
      <c r="A285" s="6" t="inlineStr">
        <is>
          <t>77244</t>
        </is>
      </c>
      <c r="B285" s="7" t="inlineStr">
        <is>
          <t>Mercedes-AMG PETRONAS W15 F1 Race Car</t>
        </is>
      </c>
      <c r="C285" s="6" t="inlineStr">
        <is>
          <t>Speed Champions</t>
        </is>
      </c>
      <c r="D285" s="9">
        <f>IFERROR(MINIFS('Dane dzienne'!E:E,'Dane dzienne'!B:B,A285),"-")</f>
        <v/>
      </c>
      <c r="E285" s="9">
        <f>IFERROR(ROUND(AVERAGEIF('Dane dzienne'!B:B,A285,'Dane dzienne'!E:E),2),"-")</f>
        <v/>
      </c>
      <c r="F285" s="6">
        <f>IFERROR(ROUND(AVERAGEIF('Dane dzienne'!B:B,A285,'Dane dzienne'!F:F),0),"-")</f>
        <v/>
      </c>
      <c r="G285" s="6">
        <f>IFERROR(MAXIFS('Dane dzienne'!G:G,'Dane dzienne'!B:B,A285),"-")</f>
        <v/>
      </c>
    </row>
    <row r="286">
      <c r="A286" s="4" t="inlineStr">
        <is>
          <t>77245</t>
        </is>
      </c>
      <c r="B286" s="5" t="inlineStr">
        <is>
          <t>Aston Martin Aramco F1 AMR24 Race Car</t>
        </is>
      </c>
      <c r="C286" s="4" t="inlineStr">
        <is>
          <t>Speed Champions</t>
        </is>
      </c>
      <c r="D286" s="8">
        <f>IFERROR(MINIFS('Dane dzienne'!E:E,'Dane dzienne'!B:B,A286),"-")</f>
        <v/>
      </c>
      <c r="E286" s="8">
        <f>IFERROR(ROUND(AVERAGEIF('Dane dzienne'!B:B,A286,'Dane dzienne'!E:E),2),"-")</f>
        <v/>
      </c>
      <c r="F286" s="4">
        <f>IFERROR(ROUND(AVERAGEIF('Dane dzienne'!B:B,A286,'Dane dzienne'!F:F),0),"-")</f>
        <v/>
      </c>
      <c r="G286" s="4">
        <f>IFERROR(MAXIFS('Dane dzienne'!G:G,'Dane dzienne'!B:B,A286),"-")</f>
        <v/>
      </c>
    </row>
    <row r="287">
      <c r="A287" s="6" t="inlineStr">
        <is>
          <t>77246</t>
        </is>
      </c>
      <c r="B287" s="7" t="inlineStr">
        <is>
          <t>Visa Cash App VCARB 01 F1 Race Car</t>
        </is>
      </c>
      <c r="C287" s="6" t="inlineStr">
        <is>
          <t>Speed Champions</t>
        </is>
      </c>
      <c r="D287" s="9">
        <f>IFERROR(MINIFS('Dane dzienne'!E:E,'Dane dzienne'!B:B,A287),"-")</f>
        <v/>
      </c>
      <c r="E287" s="9">
        <f>IFERROR(ROUND(AVERAGEIF('Dane dzienne'!B:B,A287,'Dane dzienne'!E:E),2),"-")</f>
        <v/>
      </c>
      <c r="F287" s="6">
        <f>IFERROR(ROUND(AVERAGEIF('Dane dzienne'!B:B,A287,'Dane dzienne'!F:F),0),"-")</f>
        <v/>
      </c>
      <c r="G287" s="6">
        <f>IFERROR(MAXIFS('Dane dzienne'!G:G,'Dane dzienne'!B:B,A287),"-")</f>
        <v/>
      </c>
    </row>
    <row r="288">
      <c r="A288" s="4" t="inlineStr">
        <is>
          <t>77248</t>
        </is>
      </c>
      <c r="B288" s="5" t="inlineStr">
        <is>
          <t>BWT Alpine F1 Team A524 Race Car</t>
        </is>
      </c>
      <c r="C288" s="4" t="inlineStr">
        <is>
          <t>Speed Champions</t>
        </is>
      </c>
      <c r="D288" s="8">
        <f>IFERROR(MINIFS('Dane dzienne'!E:E,'Dane dzienne'!B:B,A288),"-")</f>
        <v/>
      </c>
      <c r="E288" s="8">
        <f>IFERROR(ROUND(AVERAGEIF('Dane dzienne'!B:B,A288,'Dane dzienne'!E:E),2),"-")</f>
        <v/>
      </c>
      <c r="F288" s="4">
        <f>IFERROR(ROUND(AVERAGEIF('Dane dzienne'!B:B,A288,'Dane dzienne'!F:F),0),"-")</f>
        <v/>
      </c>
      <c r="G288" s="4">
        <f>IFERROR(MAXIFS('Dane dzienne'!G:G,'Dane dzienne'!B:B,A288),"-")</f>
        <v/>
      </c>
    </row>
    <row r="289">
      <c r="A289" s="6" t="inlineStr">
        <is>
          <t>77249</t>
        </is>
      </c>
      <c r="B289" s="7" t="inlineStr">
        <is>
          <t>Williams Racing FW46 F1 Race Car</t>
        </is>
      </c>
      <c r="C289" s="6" t="inlineStr">
        <is>
          <t>Speed Champions</t>
        </is>
      </c>
      <c r="D289" s="9">
        <f>IFERROR(MINIFS('Dane dzienne'!E:E,'Dane dzienne'!B:B,A289),"-")</f>
        <v/>
      </c>
      <c r="E289" s="9">
        <f>IFERROR(ROUND(AVERAGEIF('Dane dzienne'!B:B,A289,'Dane dzienne'!E:E),2),"-")</f>
        <v/>
      </c>
      <c r="F289" s="6">
        <f>IFERROR(ROUND(AVERAGEIF('Dane dzienne'!B:B,A289,'Dane dzienne'!F:F),0),"-")</f>
        <v/>
      </c>
      <c r="G289" s="6">
        <f>IFERROR(MAXIFS('Dane dzienne'!G:G,'Dane dzienne'!B:B,A289),"-")</f>
        <v/>
      </c>
    </row>
    <row r="290">
      <c r="A290" s="4" t="inlineStr">
        <is>
          <t>77250</t>
        </is>
      </c>
      <c r="B290" s="5" t="inlineStr">
        <is>
          <t>MoneyGram Haas F1 Team VF-24 Race Car</t>
        </is>
      </c>
      <c r="C290" s="4" t="inlineStr">
        <is>
          <t>Speed Champions</t>
        </is>
      </c>
      <c r="D290" s="8">
        <f>IFERROR(MINIFS('Dane dzienne'!E:E,'Dane dzienne'!B:B,A290),"-")</f>
        <v/>
      </c>
      <c r="E290" s="8">
        <f>IFERROR(ROUND(AVERAGEIF('Dane dzienne'!B:B,A290,'Dane dzienne'!E:E),2),"-")</f>
        <v/>
      </c>
      <c r="F290" s="4">
        <f>IFERROR(ROUND(AVERAGEIF('Dane dzienne'!B:B,A290,'Dane dzienne'!F:F),0),"-")</f>
        <v/>
      </c>
      <c r="G290" s="4">
        <f>IFERROR(MAXIFS('Dane dzienne'!G:G,'Dane dzienne'!B:B,A290),"-")</f>
        <v/>
      </c>
    </row>
    <row r="291">
      <c r="A291" s="6" t="inlineStr">
        <is>
          <t>77251</t>
        </is>
      </c>
      <c r="B291" s="7" t="inlineStr">
        <is>
          <t>McLaren MCL38 F1 Team Race Car</t>
        </is>
      </c>
      <c r="C291" s="6" t="inlineStr">
        <is>
          <t>Speed Champions</t>
        </is>
      </c>
      <c r="D291" s="9">
        <f>IFERROR(MINIFS('Dane dzienne'!E:E,'Dane dzienne'!B:B,A291),"-")</f>
        <v/>
      </c>
      <c r="E291" s="9">
        <f>IFERROR(ROUND(AVERAGEIF('Dane dzienne'!B:B,A291,'Dane dzienne'!E:E),2),"-")</f>
        <v/>
      </c>
      <c r="F291" s="6">
        <f>IFERROR(ROUND(AVERAGEIF('Dane dzienne'!B:B,A291,'Dane dzienne'!F:F),0),"-")</f>
        <v/>
      </c>
      <c r="G291" s="6">
        <f>IFERROR(MAXIFS('Dane dzienne'!G:G,'Dane dzienne'!B:B,A291),"-")</f>
        <v/>
      </c>
    </row>
    <row r="292">
      <c r="A292" s="4" t="inlineStr">
        <is>
          <t>77259</t>
        </is>
      </c>
      <c r="B292" s="5" t="inlineStr">
        <is>
          <t>Audi Revolut F1 Team R26 Race Car</t>
        </is>
      </c>
      <c r="C292" s="4" t="inlineStr">
        <is>
          <t>Speed Champions</t>
        </is>
      </c>
      <c r="D292" s="8">
        <f>IFERROR(MINIFS('Dane dzienne'!E:E,'Dane dzienne'!B:B,A292),"-")</f>
        <v/>
      </c>
      <c r="E292" s="8">
        <f>IFERROR(ROUND(AVERAGEIF('Dane dzienne'!B:B,A292,'Dane dzienne'!E:E),2),"-")</f>
        <v/>
      </c>
      <c r="F292" s="4">
        <f>IFERROR(ROUND(AVERAGEIF('Dane dzienne'!B:B,A292,'Dane dzienne'!F:F),0),"-")</f>
        <v/>
      </c>
      <c r="G292" s="4">
        <f>IFERROR(MAXIFS('Dane dzienne'!G:G,'Dane dzienne'!B:B,A292),"-")</f>
        <v/>
      </c>
    </row>
    <row r="293">
      <c r="A293" s="6" t="inlineStr">
        <is>
          <t>30727</t>
        </is>
      </c>
      <c r="B293" s="7" t="inlineStr">
        <is>
          <t>TIE Advanced (Polybag)</t>
        </is>
      </c>
      <c r="C293" s="6" t="inlineStr">
        <is>
          <t>Star Wars</t>
        </is>
      </c>
      <c r="D293" s="9">
        <f>IFERROR(MINIFS('Dane dzienne'!E:E,'Dane dzienne'!B:B,A293),"-")</f>
        <v/>
      </c>
      <c r="E293" s="9">
        <f>IFERROR(ROUND(AVERAGEIF('Dane dzienne'!B:B,A293,'Dane dzienne'!E:E),2),"-")</f>
        <v/>
      </c>
      <c r="F293" s="6">
        <f>IFERROR(ROUND(AVERAGEIF('Dane dzienne'!B:B,A293,'Dane dzienne'!F:F),0),"-")</f>
        <v/>
      </c>
      <c r="G293" s="6">
        <f>IFERROR(MAXIFS('Dane dzienne'!G:G,'Dane dzienne'!B:B,A293),"-")</f>
        <v/>
      </c>
    </row>
    <row r="294">
      <c r="A294" s="4" t="inlineStr">
        <is>
          <t>30728</t>
        </is>
      </c>
      <c r="B294" s="5" t="inlineStr">
        <is>
          <t>The Razor Crest (Polybag)</t>
        </is>
      </c>
      <c r="C294" s="4" t="inlineStr">
        <is>
          <t>Star Wars</t>
        </is>
      </c>
      <c r="D294" s="8">
        <f>IFERROR(MINIFS('Dane dzienne'!E:E,'Dane dzienne'!B:B,A294),"-")</f>
        <v/>
      </c>
      <c r="E294" s="8">
        <f>IFERROR(ROUND(AVERAGEIF('Dane dzienne'!B:B,A294,'Dane dzienne'!E:E),2),"-")</f>
        <v/>
      </c>
      <c r="F294" s="4">
        <f>IFERROR(ROUND(AVERAGEIF('Dane dzienne'!B:B,A294,'Dane dzienne'!F:F),0),"-")</f>
        <v/>
      </c>
      <c r="G294" s="4">
        <f>IFERROR(MAXIFS('Dane dzienne'!G:G,'Dane dzienne'!B:B,A294),"-")</f>
        <v/>
      </c>
    </row>
    <row r="295">
      <c r="A295" s="6" t="inlineStr">
        <is>
          <t>75192</t>
        </is>
      </c>
      <c r="B295" s="7" t="inlineStr">
        <is>
          <t>Millennium Falcon</t>
        </is>
      </c>
      <c r="C295" s="6" t="inlineStr">
        <is>
          <t>Star Wars</t>
        </is>
      </c>
      <c r="D295" s="9">
        <f>IFERROR(MINIFS('Dane dzienne'!E:E,'Dane dzienne'!B:B,A295),"-")</f>
        <v/>
      </c>
      <c r="E295" s="9">
        <f>IFERROR(ROUND(AVERAGEIF('Dane dzienne'!B:B,A295,'Dane dzienne'!E:E),2),"-")</f>
        <v/>
      </c>
      <c r="F295" s="6">
        <f>IFERROR(ROUND(AVERAGEIF('Dane dzienne'!B:B,A295,'Dane dzienne'!F:F),0),"-")</f>
        <v/>
      </c>
      <c r="G295" s="6">
        <f>IFERROR(MAXIFS('Dane dzienne'!G:G,'Dane dzienne'!B:B,A295),"-")</f>
        <v/>
      </c>
    </row>
    <row r="296">
      <c r="A296" s="4" t="inlineStr">
        <is>
          <t>75328</t>
        </is>
      </c>
      <c r="B296" s="5" t="inlineStr">
        <is>
          <t>The Mandalorian Helmet</t>
        </is>
      </c>
      <c r="C296" s="4" t="inlineStr">
        <is>
          <t>Star Wars</t>
        </is>
      </c>
      <c r="D296" s="8">
        <f>IFERROR(MINIFS('Dane dzienne'!E:E,'Dane dzienne'!B:B,A296),"-")</f>
        <v/>
      </c>
      <c r="E296" s="8">
        <f>IFERROR(ROUND(AVERAGEIF('Dane dzienne'!B:B,A296,'Dane dzienne'!E:E),2),"-")</f>
        <v/>
      </c>
      <c r="F296" s="4">
        <f>IFERROR(ROUND(AVERAGEIF('Dane dzienne'!B:B,A296,'Dane dzienne'!F:F),0),"-")</f>
        <v/>
      </c>
      <c r="G296" s="4">
        <f>IFERROR(MAXIFS('Dane dzienne'!G:G,'Dane dzienne'!B:B,A296),"-")</f>
        <v/>
      </c>
    </row>
    <row r="297">
      <c r="A297" s="6" t="inlineStr">
        <is>
          <t>75367</t>
        </is>
      </c>
      <c r="B297" s="7" t="inlineStr">
        <is>
          <t>Venator-class Republic Attack Cruiser</t>
        </is>
      </c>
      <c r="C297" s="6" t="inlineStr">
        <is>
          <t>Star Wars</t>
        </is>
      </c>
      <c r="D297" s="9">
        <f>IFERROR(MINIFS('Dane dzienne'!E:E,'Dane dzienne'!B:B,A297),"-")</f>
        <v/>
      </c>
      <c r="E297" s="9">
        <f>IFERROR(ROUND(AVERAGEIF('Dane dzienne'!B:B,A297,'Dane dzienne'!E:E),2),"-")</f>
        <v/>
      </c>
      <c r="F297" s="6">
        <f>IFERROR(ROUND(AVERAGEIF('Dane dzienne'!B:B,A297,'Dane dzienne'!F:F),0),"-")</f>
        <v/>
      </c>
      <c r="G297" s="6">
        <f>IFERROR(MAXIFS('Dane dzienne'!G:G,'Dane dzienne'!B:B,A297),"-")</f>
        <v/>
      </c>
    </row>
    <row r="298">
      <c r="A298" s="4" t="inlineStr">
        <is>
          <t>75372</t>
        </is>
      </c>
      <c r="B298" s="5" t="inlineStr">
        <is>
          <t>Clone Trooper &amp; Battle Droid Battle Pack</t>
        </is>
      </c>
      <c r="C298" s="4" t="inlineStr">
        <is>
          <t>Star Wars</t>
        </is>
      </c>
      <c r="D298" s="8">
        <f>IFERROR(MINIFS('Dane dzienne'!E:E,'Dane dzienne'!B:B,A298),"-")</f>
        <v/>
      </c>
      <c r="E298" s="8">
        <f>IFERROR(ROUND(AVERAGEIF('Dane dzienne'!B:B,A298,'Dane dzienne'!E:E),2),"-")</f>
        <v/>
      </c>
      <c r="F298" s="4">
        <f>IFERROR(ROUND(AVERAGEIF('Dane dzienne'!B:B,A298,'Dane dzienne'!F:F),0),"-")</f>
        <v/>
      </c>
      <c r="G298" s="4">
        <f>IFERROR(MAXIFS('Dane dzienne'!G:G,'Dane dzienne'!B:B,A298),"-")</f>
        <v/>
      </c>
    </row>
    <row r="299">
      <c r="A299" s="6" t="inlineStr">
        <is>
          <t>75382</t>
        </is>
      </c>
      <c r="B299" s="7" t="inlineStr">
        <is>
          <t>TIE Interceptor</t>
        </is>
      </c>
      <c r="C299" s="6" t="inlineStr">
        <is>
          <t>Star Wars</t>
        </is>
      </c>
      <c r="D299" s="9">
        <f>IFERROR(MINIFS('Dane dzienne'!E:E,'Dane dzienne'!B:B,A299),"-")</f>
        <v/>
      </c>
      <c r="E299" s="9">
        <f>IFERROR(ROUND(AVERAGEIF('Dane dzienne'!B:B,A299,'Dane dzienne'!E:E),2),"-")</f>
        <v/>
      </c>
      <c r="F299" s="6">
        <f>IFERROR(ROUND(AVERAGEIF('Dane dzienne'!B:B,A299,'Dane dzienne'!F:F),0),"-")</f>
        <v/>
      </c>
      <c r="G299" s="6">
        <f>IFERROR(MAXIFS('Dane dzienne'!G:G,'Dane dzienne'!B:B,A299),"-")</f>
        <v/>
      </c>
    </row>
    <row r="300">
      <c r="A300" s="4" t="inlineStr">
        <is>
          <t>75389</t>
        </is>
      </c>
      <c r="B300" s="5" t="inlineStr">
        <is>
          <t>The Dark Falcon</t>
        </is>
      </c>
      <c r="C300" s="4" t="inlineStr">
        <is>
          <t>Star Wars</t>
        </is>
      </c>
      <c r="D300" s="8">
        <f>IFERROR(MINIFS('Dane dzienne'!E:E,'Dane dzienne'!B:B,A300),"-")</f>
        <v/>
      </c>
      <c r="E300" s="8">
        <f>IFERROR(ROUND(AVERAGEIF('Dane dzienne'!B:B,A300,'Dane dzienne'!E:E),2),"-")</f>
        <v/>
      </c>
      <c r="F300" s="4">
        <f>IFERROR(ROUND(AVERAGEIF('Dane dzienne'!B:B,A300,'Dane dzienne'!F:F),0),"-")</f>
        <v/>
      </c>
      <c r="G300" s="4">
        <f>IFERROR(MAXIFS('Dane dzienne'!G:G,'Dane dzienne'!B:B,A300),"-")</f>
        <v/>
      </c>
    </row>
    <row r="301">
      <c r="A301" s="6" t="inlineStr">
        <is>
          <t>75397</t>
        </is>
      </c>
      <c r="B301" s="7" t="inlineStr">
        <is>
          <t>Jabba's Sail Barge</t>
        </is>
      </c>
      <c r="C301" s="6" t="inlineStr">
        <is>
          <t>Star Wars</t>
        </is>
      </c>
      <c r="D301" s="9">
        <f>IFERROR(MINIFS('Dane dzienne'!E:E,'Dane dzienne'!B:B,A301),"-")</f>
        <v/>
      </c>
      <c r="E301" s="9">
        <f>IFERROR(ROUND(AVERAGEIF('Dane dzienne'!B:B,A301,'Dane dzienne'!E:E),2),"-")</f>
        <v/>
      </c>
      <c r="F301" s="6">
        <f>IFERROR(ROUND(AVERAGEIF('Dane dzienne'!B:B,A301,'Dane dzienne'!F:F),0),"-")</f>
        <v/>
      </c>
      <c r="G301" s="6">
        <f>IFERROR(MAXIFS('Dane dzienne'!G:G,'Dane dzienne'!B:B,A301),"-")</f>
        <v/>
      </c>
    </row>
    <row r="302">
      <c r="A302" s="4" t="inlineStr">
        <is>
          <t>75399</t>
        </is>
      </c>
      <c r="B302" s="5" t="inlineStr">
        <is>
          <t>Rebel U-wing Starfighter</t>
        </is>
      </c>
      <c r="C302" s="4" t="inlineStr">
        <is>
          <t>Star Wars</t>
        </is>
      </c>
      <c r="D302" s="8">
        <f>IFERROR(MINIFS('Dane dzienne'!E:E,'Dane dzienne'!B:B,A302),"-")</f>
        <v/>
      </c>
      <c r="E302" s="8">
        <f>IFERROR(ROUND(AVERAGEIF('Dane dzienne'!B:B,A302,'Dane dzienne'!E:E),2),"-")</f>
        <v/>
      </c>
      <c r="F302" s="4">
        <f>IFERROR(ROUND(AVERAGEIF('Dane dzienne'!B:B,A302,'Dane dzienne'!F:F),0),"-")</f>
        <v/>
      </c>
      <c r="G302" s="4">
        <f>IFERROR(MAXIFS('Dane dzienne'!G:G,'Dane dzienne'!B:B,A302),"-")</f>
        <v/>
      </c>
    </row>
    <row r="303">
      <c r="A303" s="6" t="inlineStr">
        <is>
          <t>75400</t>
        </is>
      </c>
      <c r="B303" s="7" t="inlineStr">
        <is>
          <t>Plo Koon's Jedi Starfighter Microfighter</t>
        </is>
      </c>
      <c r="C303" s="6" t="inlineStr">
        <is>
          <t>Star Wars</t>
        </is>
      </c>
      <c r="D303" s="9">
        <f>IFERROR(MINIFS('Dane dzienne'!E:E,'Dane dzienne'!B:B,A303),"-")</f>
        <v/>
      </c>
      <c r="E303" s="9">
        <f>IFERROR(ROUND(AVERAGEIF('Dane dzienne'!B:B,A303,'Dane dzienne'!E:E),2),"-")</f>
        <v/>
      </c>
      <c r="F303" s="6">
        <f>IFERROR(ROUND(AVERAGEIF('Dane dzienne'!B:B,A303,'Dane dzienne'!F:F),0),"-")</f>
        <v/>
      </c>
      <c r="G303" s="6">
        <f>IFERROR(MAXIFS('Dane dzienne'!G:G,'Dane dzienne'!B:B,A303),"-")</f>
        <v/>
      </c>
    </row>
    <row r="304">
      <c r="A304" s="4" t="inlineStr">
        <is>
          <t>75406</t>
        </is>
      </c>
      <c r="B304" s="5" t="inlineStr">
        <is>
          <t>Kylo Ren's Command Shuttle</t>
        </is>
      </c>
      <c r="C304" s="4" t="inlineStr">
        <is>
          <t>Star Wars</t>
        </is>
      </c>
      <c r="D304" s="8">
        <f>IFERROR(MINIFS('Dane dzienne'!E:E,'Dane dzienne'!B:B,A304),"-")</f>
        <v/>
      </c>
      <c r="E304" s="8">
        <f>IFERROR(ROUND(AVERAGEIF('Dane dzienne'!B:B,A304,'Dane dzienne'!E:E),2),"-")</f>
        <v/>
      </c>
      <c r="F304" s="4">
        <f>IFERROR(ROUND(AVERAGEIF('Dane dzienne'!B:B,A304,'Dane dzienne'!F:F),0),"-")</f>
        <v/>
      </c>
      <c r="G304" s="4">
        <f>IFERROR(MAXIFS('Dane dzienne'!G:G,'Dane dzienne'!B:B,A304),"-")</f>
        <v/>
      </c>
    </row>
    <row r="305">
      <c r="A305" s="6" t="inlineStr">
        <is>
          <t>75410</t>
        </is>
      </c>
      <c r="B305" s="7" t="inlineStr">
        <is>
          <t>Mando and Grogu's N-1 Starfighter</t>
        </is>
      </c>
      <c r="C305" s="6" t="inlineStr">
        <is>
          <t>Star Wars</t>
        </is>
      </c>
      <c r="D305" s="9">
        <f>IFERROR(MINIFS('Dane dzienne'!E:E,'Dane dzienne'!B:B,A305),"-")</f>
        <v/>
      </c>
      <c r="E305" s="9">
        <f>IFERROR(ROUND(AVERAGEIF('Dane dzienne'!B:B,A305,'Dane dzienne'!E:E),2),"-")</f>
        <v/>
      </c>
      <c r="F305" s="6">
        <f>IFERROR(ROUND(AVERAGEIF('Dane dzienne'!B:B,A305,'Dane dzienne'!F:F),0),"-")</f>
        <v/>
      </c>
      <c r="G305" s="6">
        <f>IFERROR(MAXIFS('Dane dzienne'!G:G,'Dane dzienne'!B:B,A305),"-")</f>
        <v/>
      </c>
    </row>
    <row r="306">
      <c r="A306" s="4" t="inlineStr">
        <is>
          <t>75412</t>
        </is>
      </c>
      <c r="B306" s="5" t="inlineStr">
        <is>
          <t>Death Trooper &amp; Night Trooper Battle Pack</t>
        </is>
      </c>
      <c r="C306" s="4" t="inlineStr">
        <is>
          <t>Star Wars</t>
        </is>
      </c>
      <c r="D306" s="8">
        <f>IFERROR(MINIFS('Dane dzienne'!E:E,'Dane dzienne'!B:B,A306),"-")</f>
        <v/>
      </c>
      <c r="E306" s="8">
        <f>IFERROR(ROUND(AVERAGEIF('Dane dzienne'!B:B,A306,'Dane dzienne'!E:E),2),"-")</f>
        <v/>
      </c>
      <c r="F306" s="4">
        <f>IFERROR(ROUND(AVERAGEIF('Dane dzienne'!B:B,A306,'Dane dzienne'!F:F),0),"-")</f>
        <v/>
      </c>
      <c r="G306" s="4">
        <f>IFERROR(MAXIFS('Dane dzienne'!G:G,'Dane dzienne'!B:B,A306),"-")</f>
        <v/>
      </c>
    </row>
    <row r="307">
      <c r="A307" s="6" t="inlineStr">
        <is>
          <t>75413</t>
        </is>
      </c>
      <c r="B307" s="7" t="inlineStr">
        <is>
          <t>Republic Juggernaut</t>
        </is>
      </c>
      <c r="C307" s="6" t="inlineStr">
        <is>
          <t>Star Wars</t>
        </is>
      </c>
      <c r="D307" s="9">
        <f>IFERROR(MINIFS('Dane dzienne'!E:E,'Dane dzienne'!B:B,A307),"-")</f>
        <v/>
      </c>
      <c r="E307" s="9">
        <f>IFERROR(ROUND(AVERAGEIF('Dane dzienne'!B:B,A307,'Dane dzienne'!E:E),2),"-")</f>
        <v/>
      </c>
      <c r="F307" s="6">
        <f>IFERROR(ROUND(AVERAGEIF('Dane dzienne'!B:B,A307,'Dane dzienne'!F:F),0),"-")</f>
        <v/>
      </c>
      <c r="G307" s="6">
        <f>IFERROR(MAXIFS('Dane dzienne'!G:G,'Dane dzienne'!B:B,A307),"-")</f>
        <v/>
      </c>
    </row>
    <row r="308">
      <c r="A308" s="4" t="inlineStr">
        <is>
          <t>75414</t>
        </is>
      </c>
      <c r="B308" s="5" t="inlineStr">
        <is>
          <t>The Force Burner Snowspeeder</t>
        </is>
      </c>
      <c r="C308" s="4" t="inlineStr">
        <is>
          <t>Star Wars</t>
        </is>
      </c>
      <c r="D308" s="8">
        <f>IFERROR(MINIFS('Dane dzienne'!E:E,'Dane dzienne'!B:B,A308),"-")</f>
        <v/>
      </c>
      <c r="E308" s="8">
        <f>IFERROR(ROUND(AVERAGEIF('Dane dzienne'!B:B,A308,'Dane dzienne'!E:E),2),"-")</f>
        <v/>
      </c>
      <c r="F308" s="4">
        <f>IFERROR(ROUND(AVERAGEIF('Dane dzienne'!B:B,A308,'Dane dzienne'!F:F),0),"-")</f>
        <v/>
      </c>
      <c r="G308" s="4">
        <f>IFERROR(MAXIFS('Dane dzienne'!G:G,'Dane dzienne'!B:B,A308),"-")</f>
        <v/>
      </c>
    </row>
    <row r="309">
      <c r="A309" s="6" t="inlineStr">
        <is>
          <t>75415</t>
        </is>
      </c>
      <c r="B309" s="7" t="inlineStr">
        <is>
          <t>Kylo Ren Helmet</t>
        </is>
      </c>
      <c r="C309" s="6" t="inlineStr">
        <is>
          <t>Star Wars</t>
        </is>
      </c>
      <c r="D309" s="9">
        <f>IFERROR(MINIFS('Dane dzienne'!E:E,'Dane dzienne'!B:B,A309),"-")</f>
        <v/>
      </c>
      <c r="E309" s="9">
        <f>IFERROR(ROUND(AVERAGEIF('Dane dzienne'!B:B,A309,'Dane dzienne'!E:E),2),"-")</f>
        <v/>
      </c>
      <c r="F309" s="6">
        <f>IFERROR(ROUND(AVERAGEIF('Dane dzienne'!B:B,A309,'Dane dzienne'!F:F),0),"-")</f>
        <v/>
      </c>
      <c r="G309" s="6">
        <f>IFERROR(MAXIFS('Dane dzienne'!G:G,'Dane dzienne'!B:B,A309),"-")</f>
        <v/>
      </c>
    </row>
    <row r="310">
      <c r="A310" s="4" t="inlineStr">
        <is>
          <t>75428</t>
        </is>
      </c>
      <c r="B310" s="5" t="inlineStr">
        <is>
          <t>Battle Droid with STAP</t>
        </is>
      </c>
      <c r="C310" s="4" t="inlineStr">
        <is>
          <t>Star Wars</t>
        </is>
      </c>
      <c r="D310" s="8">
        <f>IFERROR(MINIFS('Dane dzienne'!E:E,'Dane dzienne'!B:B,A310),"-")</f>
        <v/>
      </c>
      <c r="E310" s="8">
        <f>IFERROR(ROUND(AVERAGEIF('Dane dzienne'!B:B,A310,'Dane dzienne'!E:E),2),"-")</f>
        <v/>
      </c>
      <c r="F310" s="4">
        <f>IFERROR(ROUND(AVERAGEIF('Dane dzienne'!B:B,A310,'Dane dzienne'!F:F),0),"-")</f>
        <v/>
      </c>
      <c r="G310" s="4">
        <f>IFERROR(MAXIFS('Dane dzienne'!G:G,'Dane dzienne'!B:B,A310),"-")</f>
        <v/>
      </c>
    </row>
    <row r="311">
      <c r="A311" s="6" t="inlineStr">
        <is>
          <t>75429</t>
        </is>
      </c>
      <c r="B311" s="7" t="inlineStr">
        <is>
          <t>AT-AT Driver Helmet</t>
        </is>
      </c>
      <c r="C311" s="6" t="inlineStr">
        <is>
          <t>Star Wars</t>
        </is>
      </c>
      <c r="D311" s="9">
        <f>IFERROR(MINIFS('Dane dzienne'!E:E,'Dane dzienne'!B:B,A311),"-")</f>
        <v/>
      </c>
      <c r="E311" s="9">
        <f>IFERROR(ROUND(AVERAGEIF('Dane dzienne'!B:B,A311,'Dane dzienne'!E:E),2),"-")</f>
        <v/>
      </c>
      <c r="F311" s="6">
        <f>IFERROR(ROUND(AVERAGEIF('Dane dzienne'!B:B,A311,'Dane dzienne'!F:F),0),"-")</f>
        <v/>
      </c>
      <c r="G311" s="6">
        <f>IFERROR(MAXIFS('Dane dzienne'!G:G,'Dane dzienne'!B:B,A311),"-")</f>
        <v/>
      </c>
    </row>
    <row r="312">
      <c r="A312" s="4" t="inlineStr">
        <is>
          <t>75430</t>
        </is>
      </c>
      <c r="B312" s="5" t="inlineStr">
        <is>
          <t>Wicket the Ewok</t>
        </is>
      </c>
      <c r="C312" s="4" t="inlineStr">
        <is>
          <t>Star Wars</t>
        </is>
      </c>
      <c r="D312" s="8">
        <f>IFERROR(MINIFS('Dane dzienne'!E:E,'Dane dzienne'!B:B,A312),"-")</f>
        <v/>
      </c>
      <c r="E312" s="8">
        <f>IFERROR(ROUND(AVERAGEIF('Dane dzienne'!B:B,A312,'Dane dzienne'!E:E),2),"-")</f>
        <v/>
      </c>
      <c r="F312" s="4">
        <f>IFERROR(ROUND(AVERAGEIF('Dane dzienne'!B:B,A312,'Dane dzienne'!F:F),0),"-")</f>
        <v/>
      </c>
      <c r="G312" s="4">
        <f>IFERROR(MAXIFS('Dane dzienne'!G:G,'Dane dzienne'!B:B,A312),"-")</f>
        <v/>
      </c>
    </row>
    <row r="313">
      <c r="A313" s="6" t="inlineStr">
        <is>
          <t>75435</t>
        </is>
      </c>
      <c r="B313" s="7" t="inlineStr">
        <is>
          <t>Battle of Felucia Separatist MTT</t>
        </is>
      </c>
      <c r="C313" s="6" t="inlineStr">
        <is>
          <t>Star Wars</t>
        </is>
      </c>
      <c r="D313" s="9">
        <f>IFERROR(MINIFS('Dane dzienne'!E:E,'Dane dzienne'!B:B,A313),"-")</f>
        <v/>
      </c>
      <c r="E313" s="9">
        <f>IFERROR(ROUND(AVERAGEIF('Dane dzienne'!B:B,A313,'Dane dzienne'!E:E),2),"-")</f>
        <v/>
      </c>
      <c r="F313" s="6">
        <f>IFERROR(ROUND(AVERAGEIF('Dane dzienne'!B:B,A313,'Dane dzienne'!F:F),0),"-")</f>
        <v/>
      </c>
      <c r="G313" s="6">
        <f>IFERROR(MAXIFS('Dane dzienne'!G:G,'Dane dzienne'!B:B,A313),"-")</f>
        <v/>
      </c>
    </row>
    <row r="314">
      <c r="A314" s="4" t="inlineStr">
        <is>
          <t>75456</t>
        </is>
      </c>
      <c r="B314" s="5" t="inlineStr">
        <is>
          <t>LEGO Star Wars Advent Calendar 2026</t>
        </is>
      </c>
      <c r="C314" s="4" t="inlineStr">
        <is>
          <t>Star Wars</t>
        </is>
      </c>
      <c r="D314" s="8">
        <f>IFERROR(MINIFS('Dane dzienne'!E:E,'Dane dzienne'!B:B,A314),"-")</f>
        <v/>
      </c>
      <c r="E314" s="8">
        <f>IFERROR(ROUND(AVERAGEIF('Dane dzienne'!B:B,A314,'Dane dzienne'!E:E),2),"-")</f>
        <v/>
      </c>
      <c r="F314" s="4">
        <f>IFERROR(ROUND(AVERAGEIF('Dane dzienne'!B:B,A314,'Dane dzienne'!F:F),0),"-")</f>
        <v/>
      </c>
      <c r="G314" s="4">
        <f>IFERROR(MAXIFS('Dane dzienne'!G:G,'Dane dzienne'!B:B,A314),"-")</f>
        <v/>
      </c>
    </row>
    <row r="315">
      <c r="A315" s="6" t="inlineStr">
        <is>
          <t>30735</t>
        </is>
      </c>
      <c r="B315" s="7" t="inlineStr">
        <is>
          <t>Hot Rod Car (Polybag)</t>
        </is>
      </c>
      <c r="C315" s="6" t="inlineStr">
        <is>
          <t>Technic</t>
        </is>
      </c>
      <c r="D315" s="9">
        <f>IFERROR(MINIFS('Dane dzienne'!E:E,'Dane dzienne'!B:B,A315),"-")</f>
        <v/>
      </c>
      <c r="E315" s="9">
        <f>IFERROR(ROUND(AVERAGEIF('Dane dzienne'!B:B,A315,'Dane dzienne'!E:E),2),"-")</f>
        <v/>
      </c>
      <c r="F315" s="6">
        <f>IFERROR(ROUND(AVERAGEIF('Dane dzienne'!B:B,A315,'Dane dzienne'!F:F),0),"-")</f>
        <v/>
      </c>
      <c r="G315" s="6">
        <f>IFERROR(MAXIFS('Dane dzienne'!G:G,'Dane dzienne'!B:B,A315),"-")</f>
        <v/>
      </c>
    </row>
    <row r="316">
      <c r="A316" s="4" t="inlineStr">
        <is>
          <t>30736</t>
        </is>
      </c>
      <c r="B316" s="5" t="inlineStr">
        <is>
          <t>White Seaplane (Polybag)</t>
        </is>
      </c>
      <c r="C316" s="4" t="inlineStr">
        <is>
          <t>Technic</t>
        </is>
      </c>
      <c r="D316" s="8">
        <f>IFERROR(MINIFS('Dane dzienne'!E:E,'Dane dzienne'!B:B,A316),"-")</f>
        <v/>
      </c>
      <c r="E316" s="8">
        <f>IFERROR(ROUND(AVERAGEIF('Dane dzienne'!B:B,A316,'Dane dzienne'!E:E),2),"-")</f>
        <v/>
      </c>
      <c r="F316" s="4">
        <f>IFERROR(ROUND(AVERAGEIF('Dane dzienne'!B:B,A316,'Dane dzienne'!F:F),0),"-")</f>
        <v/>
      </c>
      <c r="G316" s="4">
        <f>IFERROR(MAXIFS('Dane dzienne'!G:G,'Dane dzienne'!B:B,A316),"-")</f>
        <v/>
      </c>
    </row>
    <row r="317">
      <c r="A317" s="6" t="inlineStr">
        <is>
          <t>42154</t>
        </is>
      </c>
      <c r="B317" s="7" t="inlineStr">
        <is>
          <t>2022 Ford GT</t>
        </is>
      </c>
      <c r="C317" s="6" t="inlineStr">
        <is>
          <t>Technic</t>
        </is>
      </c>
      <c r="D317" s="9">
        <f>IFERROR(MINIFS('Dane dzienne'!E:E,'Dane dzienne'!B:B,A317),"-")</f>
        <v/>
      </c>
      <c r="E317" s="9">
        <f>IFERROR(ROUND(AVERAGEIF('Dane dzienne'!B:B,A317,'Dane dzienne'!E:E),2),"-")</f>
        <v/>
      </c>
      <c r="F317" s="6">
        <f>IFERROR(ROUND(AVERAGEIF('Dane dzienne'!B:B,A317,'Dane dzienne'!F:F),0),"-")</f>
        <v/>
      </c>
      <c r="G317" s="6">
        <f>IFERROR(MAXIFS('Dane dzienne'!G:G,'Dane dzienne'!B:B,A317),"-")</f>
        <v/>
      </c>
    </row>
    <row r="318">
      <c r="A318" s="4" t="inlineStr">
        <is>
          <t>42170</t>
        </is>
      </c>
      <c r="B318" s="5" t="inlineStr">
        <is>
          <t>Kawasaki Ninja H2R</t>
        </is>
      </c>
      <c r="C318" s="4" t="inlineStr">
        <is>
          <t>Technic</t>
        </is>
      </c>
      <c r="D318" s="8">
        <f>IFERROR(MINIFS('Dane dzienne'!E:E,'Dane dzienne'!B:B,A318),"-")</f>
        <v/>
      </c>
      <c r="E318" s="8">
        <f>IFERROR(ROUND(AVERAGEIF('Dane dzienne'!B:B,A318,'Dane dzienne'!E:E),2),"-")</f>
        <v/>
      </c>
      <c r="F318" s="4">
        <f>IFERROR(ROUND(AVERAGEIF('Dane dzienne'!B:B,A318,'Dane dzienne'!F:F),0),"-")</f>
        <v/>
      </c>
      <c r="G318" s="4">
        <f>IFERROR(MAXIFS('Dane dzienne'!G:G,'Dane dzienne'!B:B,A318),"-")</f>
        <v/>
      </c>
    </row>
    <row r="319">
      <c r="A319" s="6" t="inlineStr">
        <is>
          <t>42171</t>
        </is>
      </c>
      <c r="B319" s="7" t="inlineStr">
        <is>
          <t>Mercedes-AMG F1 W14 E Performance</t>
        </is>
      </c>
      <c r="C319" s="6" t="inlineStr">
        <is>
          <t>Technic</t>
        </is>
      </c>
      <c r="D319" s="9">
        <f>IFERROR(MINIFS('Dane dzienne'!E:E,'Dane dzienne'!B:B,A319),"-")</f>
        <v/>
      </c>
      <c r="E319" s="9">
        <f>IFERROR(ROUND(AVERAGEIF('Dane dzienne'!B:B,A319,'Dane dzienne'!E:E),2),"-")</f>
        <v/>
      </c>
      <c r="F319" s="6">
        <f>IFERROR(ROUND(AVERAGEIF('Dane dzienne'!B:B,A319,'Dane dzienne'!F:F),0),"-")</f>
        <v/>
      </c>
      <c r="G319" s="6">
        <f>IFERROR(MAXIFS('Dane dzienne'!G:G,'Dane dzienne'!B:B,A319),"-")</f>
        <v/>
      </c>
    </row>
    <row r="320">
      <c r="A320" s="4" t="inlineStr">
        <is>
          <t>42173</t>
        </is>
      </c>
      <c r="B320" s="5" t="inlineStr">
        <is>
          <t>Koenigsegg Jesko Absolut Grey Hypercar</t>
        </is>
      </c>
      <c r="C320" s="4" t="inlineStr">
        <is>
          <t>Technic</t>
        </is>
      </c>
      <c r="D320" s="8">
        <f>IFERROR(MINIFS('Dane dzienne'!E:E,'Dane dzienne'!B:B,A320),"-")</f>
        <v/>
      </c>
      <c r="E320" s="8">
        <f>IFERROR(ROUND(AVERAGEIF('Dane dzienne'!B:B,A320,'Dane dzienne'!E:E),2),"-")</f>
        <v/>
      </c>
      <c r="F320" s="4">
        <f>IFERROR(ROUND(AVERAGEIF('Dane dzienne'!B:B,A320,'Dane dzienne'!F:F),0),"-")</f>
        <v/>
      </c>
      <c r="G320" s="4">
        <f>IFERROR(MAXIFS('Dane dzienne'!G:G,'Dane dzienne'!B:B,A320),"-")</f>
        <v/>
      </c>
    </row>
    <row r="321">
      <c r="A321" s="6" t="inlineStr">
        <is>
          <t>42175</t>
        </is>
      </c>
      <c r="B321" s="7" t="inlineStr">
        <is>
          <t>Volvo FMX Truck &amp; EC230 Electric Excavator</t>
        </is>
      </c>
      <c r="C321" s="6" t="inlineStr">
        <is>
          <t>Technic</t>
        </is>
      </c>
      <c r="D321" s="9">
        <f>IFERROR(MINIFS('Dane dzienne'!E:E,'Dane dzienne'!B:B,A321),"-")</f>
        <v/>
      </c>
      <c r="E321" s="9">
        <f>IFERROR(ROUND(AVERAGEIF('Dane dzienne'!B:B,A321,'Dane dzienne'!E:E),2),"-")</f>
        <v/>
      </c>
      <c r="F321" s="6">
        <f>IFERROR(ROUND(AVERAGEIF('Dane dzienne'!B:B,A321,'Dane dzienne'!F:F),0),"-")</f>
        <v/>
      </c>
      <c r="G321" s="6">
        <f>IFERROR(MAXIFS('Dane dzienne'!G:G,'Dane dzienne'!B:B,A321),"-")</f>
        <v/>
      </c>
    </row>
    <row r="322">
      <c r="A322" s="4" t="inlineStr">
        <is>
          <t>42176</t>
        </is>
      </c>
      <c r="B322" s="5" t="inlineStr">
        <is>
          <t>Porsche GT4 e-Performance Race Car</t>
        </is>
      </c>
      <c r="C322" s="4" t="inlineStr">
        <is>
          <t>Technic</t>
        </is>
      </c>
      <c r="D322" s="8">
        <f>IFERROR(MINIFS('Dane dzienne'!E:E,'Dane dzienne'!B:B,A322),"-")</f>
        <v/>
      </c>
      <c r="E322" s="8">
        <f>IFERROR(ROUND(AVERAGEIF('Dane dzienne'!B:B,A322,'Dane dzienne'!E:E),2),"-")</f>
        <v/>
      </c>
      <c r="F322" s="4">
        <f>IFERROR(ROUND(AVERAGEIF('Dane dzienne'!B:B,A322,'Dane dzienne'!F:F),0),"-")</f>
        <v/>
      </c>
      <c r="G322" s="4">
        <f>IFERROR(MAXIFS('Dane dzienne'!G:G,'Dane dzienne'!B:B,A322),"-")</f>
        <v/>
      </c>
    </row>
    <row r="323">
      <c r="A323" s="6" t="inlineStr">
        <is>
          <t>42177</t>
        </is>
      </c>
      <c r="B323" s="7" t="inlineStr">
        <is>
          <t>Mercedes-Benz G 500 PROFESSIONAL Line</t>
        </is>
      </c>
      <c r="C323" s="6" t="inlineStr">
        <is>
          <t>Technic</t>
        </is>
      </c>
      <c r="D323" s="9">
        <f>IFERROR(MINIFS('Dane dzienne'!E:E,'Dane dzienne'!B:B,A323),"-")</f>
        <v/>
      </c>
      <c r="E323" s="9">
        <f>IFERROR(ROUND(AVERAGEIF('Dane dzienne'!B:B,A323,'Dane dzienne'!E:E),2),"-")</f>
        <v/>
      </c>
      <c r="F323" s="6">
        <f>IFERROR(ROUND(AVERAGEIF('Dane dzienne'!B:B,A323,'Dane dzienne'!F:F),0),"-")</f>
        <v/>
      </c>
      <c r="G323" s="6">
        <f>IFERROR(MAXIFS('Dane dzienne'!G:G,'Dane dzienne'!B:B,A323),"-")</f>
        <v/>
      </c>
    </row>
    <row r="324">
      <c r="A324" s="4" t="inlineStr">
        <is>
          <t>42179</t>
        </is>
      </c>
      <c r="B324" s="5" t="inlineStr">
        <is>
          <t>Planet Earth and Moon in Orbit</t>
        </is>
      </c>
      <c r="C324" s="4" t="inlineStr">
        <is>
          <t>Technic</t>
        </is>
      </c>
      <c r="D324" s="8">
        <f>IFERROR(MINIFS('Dane dzienne'!E:E,'Dane dzienne'!B:B,A324),"-")</f>
        <v/>
      </c>
      <c r="E324" s="8">
        <f>IFERROR(ROUND(AVERAGEIF('Dane dzienne'!B:B,A324,'Dane dzienne'!E:E),2),"-")</f>
        <v/>
      </c>
      <c r="F324" s="4">
        <f>IFERROR(ROUND(AVERAGEIF('Dane dzienne'!B:B,A324,'Dane dzienne'!F:F),0),"-")</f>
        <v/>
      </c>
      <c r="G324" s="4">
        <f>IFERROR(MAXIFS('Dane dzienne'!G:G,'Dane dzienne'!B:B,A324),"-")</f>
        <v/>
      </c>
    </row>
    <row r="325">
      <c r="A325" s="6" t="inlineStr">
        <is>
          <t>42197</t>
        </is>
      </c>
      <c r="B325" s="7" t="inlineStr">
        <is>
          <t>Backhoe Loader</t>
        </is>
      </c>
      <c r="C325" s="6" t="inlineStr">
        <is>
          <t>Technic</t>
        </is>
      </c>
      <c r="D325" s="9">
        <f>IFERROR(MINIFS('Dane dzienne'!E:E,'Dane dzienne'!B:B,A325),"-")</f>
        <v/>
      </c>
      <c r="E325" s="9">
        <f>IFERROR(ROUND(AVERAGEIF('Dane dzienne'!B:B,A325,'Dane dzienne'!E:E),2),"-")</f>
        <v/>
      </c>
      <c r="F325" s="6">
        <f>IFERROR(ROUND(AVERAGEIF('Dane dzienne'!B:B,A325,'Dane dzienne'!F:F),0),"-")</f>
        <v/>
      </c>
      <c r="G325" s="6">
        <f>IFERROR(MAXIFS('Dane dzienne'!G:G,'Dane dzienne'!B:B,A325),"-")</f>
        <v/>
      </c>
    </row>
    <row r="326">
      <c r="A326" s="4" t="inlineStr">
        <is>
          <t>42198</t>
        </is>
      </c>
      <c r="B326" s="5" t="inlineStr">
        <is>
          <t>Bush Plane</t>
        </is>
      </c>
      <c r="C326" s="4" t="inlineStr">
        <is>
          <t>Technic</t>
        </is>
      </c>
      <c r="D326" s="8">
        <f>IFERROR(MINIFS('Dane dzienne'!E:E,'Dane dzienne'!B:B,A326),"-")</f>
        <v/>
      </c>
      <c r="E326" s="8">
        <f>IFERROR(ROUND(AVERAGEIF('Dane dzienne'!B:B,A326,'Dane dzienne'!E:E),2),"-")</f>
        <v/>
      </c>
      <c r="F326" s="4">
        <f>IFERROR(ROUND(AVERAGEIF('Dane dzienne'!B:B,A326,'Dane dzienne'!F:F),0),"-")</f>
        <v/>
      </c>
      <c r="G326" s="4">
        <f>IFERROR(MAXIFS('Dane dzienne'!G:G,'Dane dzienne'!B:B,A326),"-")</f>
        <v/>
      </c>
    </row>
    <row r="327">
      <c r="A327" s="6" t="inlineStr">
        <is>
          <t>42199</t>
        </is>
      </c>
      <c r="B327" s="7" t="inlineStr">
        <is>
          <t>Monster Jam DIGatron Pull-Back</t>
        </is>
      </c>
      <c r="C327" s="6" t="inlineStr">
        <is>
          <t>Technic</t>
        </is>
      </c>
      <c r="D327" s="9">
        <f>IFERROR(MINIFS('Dane dzienne'!E:E,'Dane dzienne'!B:B,A327),"-")</f>
        <v/>
      </c>
      <c r="E327" s="9">
        <f>IFERROR(ROUND(AVERAGEIF('Dane dzienne'!B:B,A327,'Dane dzienne'!E:E),2),"-")</f>
        <v/>
      </c>
      <c r="F327" s="6">
        <f>IFERROR(ROUND(AVERAGEIF('Dane dzienne'!B:B,A327,'Dane dzienne'!F:F),0),"-")</f>
        <v/>
      </c>
      <c r="G327" s="6">
        <f>IFERROR(MAXIFS('Dane dzienne'!G:G,'Dane dzienne'!B:B,A327),"-")</f>
        <v/>
      </c>
    </row>
    <row r="328">
      <c r="A328" s="4" t="inlineStr">
        <is>
          <t>42200</t>
        </is>
      </c>
      <c r="B328" s="5" t="inlineStr">
        <is>
          <t>Monster Jam ThunderROARus Pull-Back</t>
        </is>
      </c>
      <c r="C328" s="4" t="inlineStr">
        <is>
          <t>Technic</t>
        </is>
      </c>
      <c r="D328" s="8">
        <f>IFERROR(MINIFS('Dane dzienne'!E:E,'Dane dzienne'!B:B,A328),"-")</f>
        <v/>
      </c>
      <c r="E328" s="8">
        <f>IFERROR(ROUND(AVERAGEIF('Dane dzienne'!B:B,A328,'Dane dzienne'!E:E),2),"-")</f>
        <v/>
      </c>
      <c r="F328" s="4">
        <f>IFERROR(ROUND(AVERAGEIF('Dane dzienne'!B:B,A328,'Dane dzienne'!F:F),0),"-")</f>
        <v/>
      </c>
      <c r="G328" s="4">
        <f>IFERROR(MAXIFS('Dane dzienne'!G:G,'Dane dzienne'!B:B,A328),"-")</f>
        <v/>
      </c>
    </row>
    <row r="329">
      <c r="A329" s="6" t="inlineStr">
        <is>
          <t>42201</t>
        </is>
      </c>
      <c r="B329" s="7" t="inlineStr">
        <is>
          <t>Deep-Sea Research Submarine</t>
        </is>
      </c>
      <c r="C329" s="6" t="inlineStr">
        <is>
          <t>Technic</t>
        </is>
      </c>
      <c r="D329" s="9">
        <f>IFERROR(MINIFS('Dane dzienne'!E:E,'Dane dzienne'!B:B,A329),"-")</f>
        <v/>
      </c>
      <c r="E329" s="9">
        <f>IFERROR(ROUND(AVERAGEIF('Dane dzienne'!B:B,A329,'Dane dzienne'!E:E),2),"-")</f>
        <v/>
      </c>
      <c r="F329" s="6">
        <f>IFERROR(ROUND(AVERAGEIF('Dane dzienne'!B:B,A329,'Dane dzienne'!F:F),0),"-")</f>
        <v/>
      </c>
      <c r="G329" s="6">
        <f>IFERROR(MAXIFS('Dane dzienne'!G:G,'Dane dzienne'!B:B,A329),"-")</f>
        <v/>
      </c>
    </row>
    <row r="330">
      <c r="A330" s="4" t="inlineStr">
        <is>
          <t>42202</t>
        </is>
      </c>
      <c r="B330" s="5" t="inlineStr">
        <is>
          <t>Ducati Panigale V4 S Motorcycle</t>
        </is>
      </c>
      <c r="C330" s="4" t="inlineStr">
        <is>
          <t>Technic</t>
        </is>
      </c>
      <c r="D330" s="8">
        <f>IFERROR(MINIFS('Dane dzienne'!E:E,'Dane dzienne'!B:B,A330),"-")</f>
        <v/>
      </c>
      <c r="E330" s="8">
        <f>IFERROR(ROUND(AVERAGEIF('Dane dzienne'!B:B,A330,'Dane dzienne'!E:E),2),"-")</f>
        <v/>
      </c>
      <c r="F330" s="4">
        <f>IFERROR(ROUND(AVERAGEIF('Dane dzienne'!B:B,A330,'Dane dzienne'!F:F),0),"-")</f>
        <v/>
      </c>
      <c r="G330" s="4">
        <f>IFERROR(MAXIFS('Dane dzienne'!G:G,'Dane dzienne'!B:B,A330),"-")</f>
        <v/>
      </c>
    </row>
    <row r="331">
      <c r="A331" s="6" t="inlineStr">
        <is>
          <t>42203</t>
        </is>
      </c>
      <c r="B331" s="7" t="inlineStr">
        <is>
          <t>Tipping Dump Truck</t>
        </is>
      </c>
      <c r="C331" s="6" t="inlineStr">
        <is>
          <t>Technic</t>
        </is>
      </c>
      <c r="D331" s="9">
        <f>IFERROR(MINIFS('Dane dzienne'!E:E,'Dane dzienne'!B:B,A331),"-")</f>
        <v/>
      </c>
      <c r="E331" s="9">
        <f>IFERROR(ROUND(AVERAGEIF('Dane dzienne'!B:B,A331,'Dane dzienne'!E:E),2),"-")</f>
        <v/>
      </c>
      <c r="F331" s="6">
        <f>IFERROR(ROUND(AVERAGEIF('Dane dzienne'!B:B,A331,'Dane dzienne'!F:F),0),"-")</f>
        <v/>
      </c>
      <c r="G331" s="6">
        <f>IFERROR(MAXIFS('Dane dzienne'!G:G,'Dane dzienne'!B:B,A331),"-")</f>
        <v/>
      </c>
    </row>
    <row r="332">
      <c r="A332" s="4" t="inlineStr">
        <is>
          <t>42204</t>
        </is>
      </c>
      <c r="B332" s="5" t="inlineStr">
        <is>
          <t>Fast &amp; Furious Toyota Supra MK4</t>
        </is>
      </c>
      <c r="C332" s="4" t="inlineStr">
        <is>
          <t>Technic</t>
        </is>
      </c>
      <c r="D332" s="8">
        <f>IFERROR(MINIFS('Dane dzienne'!E:E,'Dane dzienne'!B:B,A332),"-")</f>
        <v/>
      </c>
      <c r="E332" s="8">
        <f>IFERROR(ROUND(AVERAGEIF('Dane dzienne'!B:B,A332,'Dane dzienne'!E:E),2),"-")</f>
        <v/>
      </c>
      <c r="F332" s="4">
        <f>IFERROR(ROUND(AVERAGEIF('Dane dzienne'!B:B,A332,'Dane dzienne'!F:F),0),"-")</f>
        <v/>
      </c>
      <c r="G332" s="4">
        <f>IFERROR(MAXIFS('Dane dzienne'!G:G,'Dane dzienne'!B:B,A332),"-")</f>
        <v/>
      </c>
    </row>
    <row r="333">
      <c r="A333" s="6" t="inlineStr">
        <is>
          <t>42205</t>
        </is>
      </c>
      <c r="B333" s="7" t="inlineStr">
        <is>
          <t>Chevrolet Corvette Stingray (Yellow)</t>
        </is>
      </c>
      <c r="C333" s="6" t="inlineStr">
        <is>
          <t>Technic</t>
        </is>
      </c>
      <c r="D333" s="9">
        <f>IFERROR(MINIFS('Dane dzienne'!E:E,'Dane dzienne'!B:B,A333),"-")</f>
        <v/>
      </c>
      <c r="E333" s="9">
        <f>IFERROR(ROUND(AVERAGEIF('Dane dzienne'!B:B,A333,'Dane dzienne'!E:E),2),"-")</f>
        <v/>
      </c>
      <c r="F333" s="6">
        <f>IFERROR(ROUND(AVERAGEIF('Dane dzienne'!B:B,A333,'Dane dzienne'!F:F),0),"-")</f>
        <v/>
      </c>
      <c r="G333" s="6">
        <f>IFERROR(MAXIFS('Dane dzienne'!G:G,'Dane dzienne'!B:B,A333),"-")</f>
        <v/>
      </c>
    </row>
    <row r="334">
      <c r="A334" s="4" t="inlineStr">
        <is>
          <t>42208</t>
        </is>
      </c>
      <c r="B334" s="5" t="inlineStr">
        <is>
          <t>Aston Martin Valkyrie</t>
        </is>
      </c>
      <c r="C334" s="4" t="inlineStr">
        <is>
          <t>Technic</t>
        </is>
      </c>
      <c r="D334" s="8">
        <f>IFERROR(MINIFS('Dane dzienne'!E:E,'Dane dzienne'!B:B,A334),"-")</f>
        <v/>
      </c>
      <c r="E334" s="8">
        <f>IFERROR(ROUND(AVERAGEIF('Dane dzienne'!B:B,A334,'Dane dzienne'!E:E),2),"-")</f>
        <v/>
      </c>
      <c r="F334" s="4">
        <f>IFERROR(ROUND(AVERAGEIF('Dane dzienne'!B:B,A334,'Dane dzienne'!F:F),0),"-")</f>
        <v/>
      </c>
      <c r="G334" s="4">
        <f>IFERROR(MAXIFS('Dane dzienne'!G:G,'Dane dzienne'!B:B,A334),"-")</f>
        <v/>
      </c>
    </row>
    <row r="335">
      <c r="A335" s="6" t="inlineStr">
        <is>
          <t>42209</t>
        </is>
      </c>
      <c r="B335" s="7" t="inlineStr">
        <is>
          <t>Volvo L120 Electric Wheel Loader</t>
        </is>
      </c>
      <c r="C335" s="6" t="inlineStr">
        <is>
          <t>Technic</t>
        </is>
      </c>
      <c r="D335" s="9">
        <f>IFERROR(MINIFS('Dane dzienne'!E:E,'Dane dzienne'!B:B,A335),"-")</f>
        <v/>
      </c>
      <c r="E335" s="9">
        <f>IFERROR(ROUND(AVERAGEIF('Dane dzienne'!B:B,A335,'Dane dzienne'!E:E),2),"-")</f>
        <v/>
      </c>
      <c r="F335" s="6">
        <f>IFERROR(ROUND(AVERAGEIF('Dane dzienne'!B:B,A335,'Dane dzienne'!F:F),0),"-")</f>
        <v/>
      </c>
      <c r="G335" s="6">
        <f>IFERROR(MAXIFS('Dane dzienne'!G:G,'Dane dzienne'!B:B,A335),"-")</f>
        <v/>
      </c>
    </row>
    <row r="336">
      <c r="A336" s="4" t="inlineStr">
        <is>
          <t>42215</t>
        </is>
      </c>
      <c r="B336" s="5" t="inlineStr">
        <is>
          <t>Volvo EC500 Hybrid</t>
        </is>
      </c>
      <c r="C336" s="4" t="inlineStr">
        <is>
          <t>Technic</t>
        </is>
      </c>
      <c r="D336" s="8">
        <f>IFERROR(MINIFS('Dane dzienne'!E:E,'Dane dzienne'!B:B,A336),"-")</f>
        <v/>
      </c>
      <c r="E336" s="8">
        <f>IFERROR(ROUND(AVERAGEIF('Dane dzienne'!B:B,A336,'Dane dzienne'!E:E),2),"-")</f>
        <v/>
      </c>
      <c r="F336" s="4">
        <f>IFERROR(ROUND(AVERAGEIF('Dane dzienne'!B:B,A336,'Dane dzienne'!F:F),0),"-")</f>
        <v/>
      </c>
      <c r="G336" s="4">
        <f>IFERROR(MAXIFS('Dane dzienne'!G:G,'Dane dzienne'!B:B,A336),"-")</f>
        <v/>
      </c>
    </row>
    <row r="337">
      <c r="A337" s="6" t="inlineStr">
        <is>
          <t>42217</t>
        </is>
      </c>
      <c r="B337" s="7" t="inlineStr">
        <is>
          <t>Chevrolet Corvette Stingray (Blue)</t>
        </is>
      </c>
      <c r="C337" s="6" t="inlineStr">
        <is>
          <t>Technic</t>
        </is>
      </c>
      <c r="D337" s="9">
        <f>IFERROR(MINIFS('Dane dzienne'!E:E,'Dane dzienne'!B:B,A337),"-")</f>
        <v/>
      </c>
      <c r="E337" s="9">
        <f>IFERROR(ROUND(AVERAGEIF('Dane dzienne'!B:B,A337,'Dane dzienne'!E:E),2),"-")</f>
        <v/>
      </c>
      <c r="F337" s="6">
        <f>IFERROR(ROUND(AVERAGEIF('Dane dzienne'!B:B,A337,'Dane dzienne'!F:F),0),"-")</f>
        <v/>
      </c>
      <c r="G337" s="6">
        <f>IFERROR(MAXIFS('Dane dzienne'!G:G,'Dane dzienne'!B:B,A337),"-")</f>
        <v/>
      </c>
    </row>
    <row r="338">
      <c r="A338" s="4" t="inlineStr">
        <is>
          <t>42233</t>
        </is>
      </c>
      <c r="B338" s="5" t="inlineStr">
        <is>
          <t>Mighty Machines Series 1</t>
        </is>
      </c>
      <c r="C338" s="4" t="inlineStr">
        <is>
          <t>Technic</t>
        </is>
      </c>
      <c r="D338" s="8">
        <f>IFERROR(MINIFS('Dane dzienne'!E:E,'Dane dzienne'!B:B,A338),"-")</f>
        <v/>
      </c>
      <c r="E338" s="8">
        <f>IFERROR(ROUND(AVERAGEIF('Dane dzienne'!B:B,A338,'Dane dzienne'!E:E),2),"-")</f>
        <v/>
      </c>
      <c r="F338" s="4">
        <f>IFERROR(ROUND(AVERAGEIF('Dane dzienne'!B:B,A338,'Dane dzienne'!F:F),0),"-")</f>
        <v/>
      </c>
      <c r="G338" s="4">
        <f>IFERROR(MAXIFS('Dane dzienne'!G:G,'Dane dzienne'!B:B,A338),"-")</f>
        <v/>
      </c>
    </row>
    <row r="339">
      <c r="A339" s="6" t="inlineStr">
        <is>
          <t>76784</t>
        </is>
      </c>
      <c r="B339" s="7" t="inlineStr">
        <is>
          <t>Black Dahlia Flower</t>
        </is>
      </c>
      <c r="C339" s="6" t="inlineStr">
        <is>
          <t>Wednesday</t>
        </is>
      </c>
      <c r="D339" s="9">
        <f>IFERROR(MINIFS('Dane dzienne'!E:E,'Dane dzienne'!B:B,A339),"-")</f>
        <v/>
      </c>
      <c r="E339" s="9">
        <f>IFERROR(ROUND(AVERAGEIF('Dane dzienne'!B:B,A339,'Dane dzienne'!E:E),2),"-")</f>
        <v/>
      </c>
      <c r="F339" s="6">
        <f>IFERROR(ROUND(AVERAGEIF('Dane dzienne'!B:B,A339,'Dane dzienne'!F:F),0),"-")</f>
        <v/>
      </c>
      <c r="G339" s="6">
        <f>IFERROR(MAXIFS('Dane dzienne'!G:G,'Dane dzienne'!B:B,A339),"-")</f>
        <v/>
      </c>
    </row>
    <row r="340">
      <c r="A340" s="4" t="inlineStr">
        <is>
          <t>76786</t>
        </is>
      </c>
      <c r="B340" s="5" t="inlineStr">
        <is>
          <t>Morticia's Cottage</t>
        </is>
      </c>
      <c r="C340" s="4" t="inlineStr">
        <is>
          <t>Wednesday</t>
        </is>
      </c>
      <c r="D340" s="8">
        <f>IFERROR(MINIFS('Dane dzienne'!E:E,'Dane dzienne'!B:B,A340),"-")</f>
        <v/>
      </c>
      <c r="E340" s="8">
        <f>IFERROR(ROUND(AVERAGEIF('Dane dzienne'!B:B,A340,'Dane dzienne'!E:E),2),"-")</f>
        <v/>
      </c>
      <c r="F340" s="4">
        <f>IFERROR(ROUND(AVERAGEIF('Dane dzienne'!B:B,A340,'Dane dzienne'!F:F),0),"-")</f>
        <v/>
      </c>
      <c r="G340" s="4">
        <f>IFERROR(MAXIFS('Dane dzienne'!G:G,'Dane dzienne'!B:B,A340),"-")</f>
        <v/>
      </c>
    </row>
    <row r="341">
      <c r="A341" s="6" t="inlineStr">
        <is>
          <t>75684</t>
        </is>
      </c>
      <c r="B341" s="7" t="inlineStr">
        <is>
          <t>Welcome to Emerald City</t>
        </is>
      </c>
      <c r="C341" s="6" t="inlineStr">
        <is>
          <t>Wicked</t>
        </is>
      </c>
      <c r="D341" s="9">
        <f>IFERROR(MINIFS('Dane dzienne'!E:E,'Dane dzienne'!B:B,A341),"-")</f>
        <v/>
      </c>
      <c r="E341" s="9">
        <f>IFERROR(ROUND(AVERAGEIF('Dane dzienne'!B:B,A341,'Dane dzienne'!E:E),2),"-")</f>
        <v/>
      </c>
      <c r="F341" s="6">
        <f>IFERROR(ROUND(AVERAGEIF('Dane dzienne'!B:B,A341,'Dane dzienne'!F:F),0),"-")</f>
        <v/>
      </c>
      <c r="G341" s="6">
        <f>IFERROR(MAXIFS('Dane dzienne'!G:G,'Dane dzienne'!B:B,A341),"-")</f>
        <v/>
      </c>
    </row>
    <row r="342">
      <c r="A342" s="4" t="inlineStr">
        <is>
          <t>75685</t>
        </is>
      </c>
      <c r="B342" s="5" t="inlineStr">
        <is>
          <t>Emerald City Wall Art</t>
        </is>
      </c>
      <c r="C342" s="4" t="inlineStr">
        <is>
          <t>Wicked</t>
        </is>
      </c>
      <c r="D342" s="8">
        <f>IFERROR(MINIFS('Dane dzienne'!E:E,'Dane dzienne'!B:B,A342),"-")</f>
        <v/>
      </c>
      <c r="E342" s="8">
        <f>IFERROR(ROUND(AVERAGEIF('Dane dzienne'!B:B,A342,'Dane dzienne'!E:E),2),"-")</f>
        <v/>
      </c>
      <c r="F342" s="4">
        <f>IFERROR(ROUND(AVERAGEIF('Dane dzienne'!B:B,A342,'Dane dzienne'!F:F),0),"-")</f>
        <v/>
      </c>
      <c r="G342" s="4">
        <f>IFERROR(MAXIFS('Dane dzienne'!G:G,'Dane dzienne'!B:B,A342),"-")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2026-06-11T06:06:43Z</dcterms:created>
  <dcterms:modified xmlns:dcterms="http://purl.org/dc/terms/" xmlns:xsi="http://www.w3.org/2001/XMLSchema-instance" xsi:type="dcterms:W3CDTF">2026-06-11T06:06:43Z</dcterms:modified>
</cp:coreProperties>
</file>